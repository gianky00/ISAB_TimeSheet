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24226"/>
  <mc:AlternateContent xmlns:mc="http://schemas.openxmlformats.org/markup-compatibility/2006">
    <mc:Choice Requires="x15">
      <x15ac:absPath xmlns:x15ac="http://schemas.microsoft.com/office/spreadsheetml/2010/11/ac" url="C:\Users\Coemi\Desktop\CERTIFICATI CAMPIONE\Registro calibrazioni\"/>
    </mc:Choice>
  </mc:AlternateContent>
  <xr:revisionPtr revIDLastSave="0" documentId="13_ncr:1_{468C5E72-9181-4438-A02B-BF0636A2ADB8}" xr6:coauthVersionLast="36" xr6:coauthVersionMax="36" xr10:uidLastSave="{00000000-0000-0000-0000-000000000000}"/>
  <bookViews>
    <workbookView xWindow="0" yWindow="0" windowWidth="28800" windowHeight="12105" xr2:uid="{A0927E2C-B3C8-4B8F-BE2E-9377134A4479}"/>
  </bookViews>
  <sheets>
    <sheet name="strumenti campione ISAB SUD" sheetId="7" r:id="rId1"/>
    <sheet name="Foglio1" sheetId="8" r:id="rId2"/>
  </sheets>
  <calcPr calcId="191029"/>
</workbook>
</file>

<file path=xl/calcChain.xml><?xml version="1.0" encoding="utf-8"?>
<calcChain xmlns="http://schemas.openxmlformats.org/spreadsheetml/2006/main">
  <c r="AD147" i="7" l="1"/>
  <c r="AC147" i="7"/>
  <c r="AB147" i="7"/>
  <c r="U147" i="7" l="1"/>
  <c r="Y147" i="7" s="1"/>
  <c r="AD141" i="7"/>
  <c r="AC141" i="7"/>
  <c r="AB141" i="7"/>
  <c r="AD133" i="7"/>
  <c r="AC133" i="7"/>
  <c r="AB133" i="7"/>
  <c r="AD161" i="7"/>
  <c r="AC161" i="7"/>
  <c r="AB161" i="7"/>
  <c r="AD157" i="7"/>
  <c r="AC157" i="7"/>
  <c r="AB157" i="7"/>
  <c r="U133" i="7" l="1"/>
  <c r="Y133" i="7" s="1"/>
  <c r="U141" i="7"/>
  <c r="Y141" i="7" s="1"/>
  <c r="U157" i="7"/>
  <c r="Y157" i="7" s="1"/>
  <c r="U161" i="7"/>
  <c r="Y161" i="7" s="1"/>
  <c r="AD137" i="7" l="1"/>
  <c r="AC137" i="7"/>
  <c r="AB137" i="7"/>
  <c r="AD153" i="7"/>
  <c r="AC153" i="7"/>
  <c r="AB153" i="7"/>
  <c r="U153" i="7" l="1"/>
  <c r="Y153" i="7" s="1"/>
  <c r="U137" i="7"/>
  <c r="Y137" i="7" s="1"/>
  <c r="AD30" i="7"/>
  <c r="AC30" i="7"/>
  <c r="AB30" i="7"/>
  <c r="AD34" i="7"/>
  <c r="AC34" i="7"/>
  <c r="AB34" i="7"/>
  <c r="AD50" i="7"/>
  <c r="AC50" i="7"/>
  <c r="AB50" i="7"/>
  <c r="U30" i="7" l="1"/>
  <c r="Y30" i="7" s="1"/>
  <c r="U50" i="7"/>
  <c r="Y50" i="7" s="1"/>
  <c r="U34" i="7"/>
  <c r="Y34" i="7" s="1"/>
  <c r="AD56" i="7" l="1"/>
  <c r="AC56" i="7"/>
  <c r="AB56" i="7"/>
  <c r="AD53" i="7"/>
  <c r="AC53" i="7"/>
  <c r="AB53" i="7"/>
  <c r="AD60" i="7"/>
  <c r="AC60" i="7"/>
  <c r="AB60" i="7"/>
  <c r="AD64" i="7"/>
  <c r="AC64" i="7"/>
  <c r="AB64" i="7"/>
  <c r="U56" i="7" l="1"/>
  <c r="Y56" i="7" s="1"/>
  <c r="U60" i="7"/>
  <c r="Y60" i="7" s="1"/>
  <c r="U53" i="7"/>
  <c r="Y53" i="7" s="1"/>
  <c r="U64" i="7"/>
  <c r="Y64" i="7" s="1"/>
  <c r="AD26" i="7"/>
  <c r="AC26" i="7"/>
  <c r="AB26" i="7"/>
  <c r="AD25" i="7"/>
  <c r="AC25" i="7"/>
  <c r="AB25" i="7"/>
  <c r="AD22" i="7"/>
  <c r="AC22" i="7"/>
  <c r="AB22" i="7"/>
  <c r="AD18" i="7"/>
  <c r="AC18" i="7"/>
  <c r="AB18" i="7"/>
  <c r="AD14" i="7"/>
  <c r="AC14" i="7"/>
  <c r="AB14" i="7"/>
  <c r="AD10" i="7"/>
  <c r="AC10" i="7"/>
  <c r="AB10" i="7"/>
  <c r="U10" i="7" l="1"/>
  <c r="Y10" i="7" s="1"/>
  <c r="U26" i="7"/>
  <c r="Y26" i="7" s="1"/>
  <c r="U25" i="7"/>
  <c r="Y25" i="7" s="1"/>
  <c r="U18" i="7"/>
  <c r="Y18" i="7" s="1"/>
  <c r="U22" i="7"/>
  <c r="Y22" i="7" s="1"/>
  <c r="U14" i="7"/>
  <c r="Y14" i="7" s="1"/>
  <c r="AD36" i="7"/>
  <c r="AC36" i="7"/>
  <c r="AB36" i="7"/>
  <c r="AD35" i="7"/>
  <c r="AC35" i="7"/>
  <c r="AB35" i="7"/>
  <c r="U35" i="7" l="1"/>
  <c r="Y35" i="7" s="1"/>
  <c r="U36" i="7"/>
  <c r="Y36" i="7" s="1"/>
  <c r="AD114" i="7"/>
  <c r="AC114" i="7"/>
  <c r="AB114" i="7"/>
  <c r="AD122" i="7"/>
  <c r="AC122" i="7"/>
  <c r="AB122" i="7"/>
  <c r="AD118" i="7"/>
  <c r="AC118" i="7"/>
  <c r="AB118" i="7"/>
  <c r="AD69" i="7"/>
  <c r="AC69" i="7"/>
  <c r="AB69" i="7"/>
  <c r="U118" i="7" l="1"/>
  <c r="Y118" i="7" s="1"/>
  <c r="U69" i="7"/>
  <c r="Y69" i="7" s="1"/>
  <c r="U122" i="7"/>
  <c r="Y122" i="7" s="1"/>
  <c r="U114" i="7"/>
  <c r="Y114" i="7" s="1"/>
  <c r="AD38" i="7"/>
  <c r="AC38" i="7"/>
  <c r="AB38" i="7"/>
  <c r="AD39" i="7"/>
  <c r="AC39" i="7"/>
  <c r="AB39" i="7"/>
  <c r="AD43" i="7"/>
  <c r="AC43" i="7"/>
  <c r="AB43" i="7"/>
  <c r="AD41" i="7"/>
  <c r="AC41" i="7"/>
  <c r="AB41" i="7"/>
  <c r="AD45" i="7"/>
  <c r="AC45" i="7"/>
  <c r="AB45" i="7"/>
  <c r="U43" i="7" l="1"/>
  <c r="Y43" i="7" s="1"/>
  <c r="U39" i="7"/>
  <c r="Y39" i="7" s="1"/>
  <c r="U38" i="7"/>
  <c r="Y38" i="7" s="1"/>
  <c r="U41" i="7"/>
  <c r="Y41" i="7" s="1"/>
  <c r="U45" i="7"/>
  <c r="Y45" i="7" s="1"/>
  <c r="AD71" i="7"/>
  <c r="AC71" i="7"/>
  <c r="AB71" i="7"/>
  <c r="AD73" i="7"/>
  <c r="AC73" i="7"/>
  <c r="AB73" i="7"/>
  <c r="U71" i="7" l="1"/>
  <c r="Y71" i="7" s="1"/>
  <c r="U73" i="7"/>
  <c r="Y73" i="7" s="1"/>
  <c r="AD125" i="7"/>
  <c r="AC125" i="7"/>
  <c r="AB125" i="7"/>
  <c r="AD127" i="7"/>
  <c r="AC127" i="7"/>
  <c r="AB127" i="7"/>
  <c r="AD129" i="7"/>
  <c r="AC129" i="7"/>
  <c r="AB129" i="7"/>
  <c r="U127" i="7" l="1"/>
  <c r="Y127" i="7" s="1"/>
  <c r="U125" i="7"/>
  <c r="Y125" i="7" s="1"/>
  <c r="U129" i="7"/>
  <c r="Y129" i="7" s="1"/>
  <c r="G1" i="7" l="1"/>
  <c r="W7" i="7" s="1"/>
  <c r="AD68" i="7"/>
  <c r="AC68" i="7"/>
  <c r="AB68" i="7"/>
  <c r="AD66" i="7"/>
  <c r="AC66" i="7"/>
  <c r="AB66" i="7"/>
  <c r="AD146" i="7"/>
  <c r="AC146" i="7"/>
  <c r="AB146" i="7"/>
  <c r="AD148" i="7"/>
  <c r="AC148" i="7"/>
  <c r="AB148" i="7"/>
  <c r="AD103" i="7"/>
  <c r="AC103" i="7"/>
  <c r="AB103" i="7"/>
  <c r="AD101" i="7"/>
  <c r="AC101" i="7"/>
  <c r="AB101" i="7"/>
  <c r="AD85" i="7"/>
  <c r="AC85" i="7"/>
  <c r="AB85" i="7"/>
  <c r="AD83" i="7"/>
  <c r="AC83" i="7"/>
  <c r="AB83" i="7"/>
  <c r="AD82" i="7"/>
  <c r="AC82" i="7"/>
  <c r="AB82" i="7"/>
  <c r="AD80" i="7"/>
  <c r="AC80" i="7"/>
  <c r="AB80" i="7"/>
  <c r="AD106" i="7"/>
  <c r="AC106" i="7"/>
  <c r="AB106" i="7"/>
  <c r="AD104" i="7"/>
  <c r="AC104" i="7"/>
  <c r="AB104" i="7"/>
  <c r="AD110" i="7"/>
  <c r="AC110" i="7"/>
  <c r="AB110" i="7"/>
  <c r="AD107" i="7"/>
  <c r="AC107" i="7"/>
  <c r="AB107" i="7"/>
  <c r="AD108" i="7"/>
  <c r="AC108" i="7"/>
  <c r="AB108" i="7"/>
  <c r="AD91" i="7"/>
  <c r="AC91" i="7"/>
  <c r="AB91" i="7"/>
  <c r="AD89" i="7"/>
  <c r="AC89" i="7"/>
  <c r="AB89" i="7"/>
  <c r="AD88" i="7"/>
  <c r="AC88" i="7"/>
  <c r="AB88" i="7"/>
  <c r="AD86" i="7"/>
  <c r="AC86" i="7"/>
  <c r="AB86" i="7"/>
  <c r="AD164" i="7"/>
  <c r="AC164" i="7"/>
  <c r="AB164" i="7"/>
  <c r="AD163" i="7"/>
  <c r="AC163" i="7"/>
  <c r="AB163" i="7"/>
  <c r="AD162" i="7"/>
  <c r="AC162" i="7"/>
  <c r="AB162" i="7"/>
  <c r="AD160" i="7"/>
  <c r="AC160" i="7"/>
  <c r="AB160" i="7"/>
  <c r="AD159" i="7"/>
  <c r="AC159" i="7"/>
  <c r="AB159" i="7"/>
  <c r="AD158" i="7"/>
  <c r="AC158" i="7"/>
  <c r="AB158" i="7"/>
  <c r="AD156" i="7"/>
  <c r="AC156" i="7"/>
  <c r="AB156" i="7"/>
  <c r="AD155" i="7"/>
  <c r="AC155" i="7"/>
  <c r="AB155" i="7"/>
  <c r="AD154" i="7"/>
  <c r="AC154" i="7"/>
  <c r="AB154" i="7"/>
  <c r="AD152" i="7"/>
  <c r="AC152" i="7"/>
  <c r="AB152" i="7"/>
  <c r="AD151" i="7"/>
  <c r="AC151" i="7"/>
  <c r="AB151" i="7"/>
  <c r="AD150" i="7"/>
  <c r="AC150" i="7"/>
  <c r="AB150" i="7"/>
  <c r="AD149" i="7"/>
  <c r="AC149" i="7"/>
  <c r="AB149" i="7"/>
  <c r="AD145" i="7"/>
  <c r="AC145" i="7"/>
  <c r="AB145" i="7"/>
  <c r="AD144" i="7"/>
  <c r="AC144" i="7"/>
  <c r="AB144" i="7"/>
  <c r="AD143" i="7"/>
  <c r="AC143" i="7"/>
  <c r="AB143" i="7"/>
  <c r="AD142" i="7"/>
  <c r="AC142" i="7"/>
  <c r="AB142" i="7"/>
  <c r="AD140" i="7"/>
  <c r="AC140" i="7"/>
  <c r="AB140" i="7"/>
  <c r="AD139" i="7"/>
  <c r="AC139" i="7"/>
  <c r="AB139" i="7"/>
  <c r="AD138" i="7"/>
  <c r="AC138" i="7"/>
  <c r="AB138" i="7"/>
  <c r="AD136" i="7"/>
  <c r="AC136" i="7"/>
  <c r="AB136" i="7"/>
  <c r="AD135" i="7"/>
  <c r="AC135" i="7"/>
  <c r="AB135" i="7"/>
  <c r="AD134" i="7"/>
  <c r="AC134" i="7"/>
  <c r="AB134" i="7"/>
  <c r="AD132" i="7"/>
  <c r="AC132" i="7"/>
  <c r="AB132" i="7"/>
  <c r="AD131" i="7"/>
  <c r="AC131" i="7"/>
  <c r="AB131" i="7"/>
  <c r="AD130" i="7"/>
  <c r="AC130" i="7"/>
  <c r="AB130" i="7"/>
  <c r="AD128" i="7"/>
  <c r="AC128" i="7"/>
  <c r="AB128" i="7"/>
  <c r="AD126" i="7"/>
  <c r="AC126" i="7"/>
  <c r="AB126" i="7"/>
  <c r="AD124" i="7"/>
  <c r="AC124" i="7"/>
  <c r="AB124" i="7"/>
  <c r="AD123" i="7"/>
  <c r="AC123" i="7"/>
  <c r="AB123" i="7"/>
  <c r="AD121" i="7"/>
  <c r="AC121" i="7"/>
  <c r="AB121" i="7"/>
  <c r="AD120" i="7"/>
  <c r="AC120" i="7"/>
  <c r="AB120" i="7"/>
  <c r="AD119" i="7"/>
  <c r="AC119" i="7"/>
  <c r="AB119" i="7"/>
  <c r="AD117" i="7"/>
  <c r="AC117" i="7"/>
  <c r="AB117" i="7"/>
  <c r="AD116" i="7"/>
  <c r="AC116" i="7"/>
  <c r="AB116" i="7"/>
  <c r="AD115" i="7"/>
  <c r="AC115" i="7"/>
  <c r="AB115" i="7"/>
  <c r="AD113" i="7"/>
  <c r="AC113" i="7"/>
  <c r="AB113" i="7"/>
  <c r="AD112" i="7"/>
  <c r="AC112" i="7"/>
  <c r="AB112" i="7"/>
  <c r="AD111" i="7"/>
  <c r="AC111" i="7"/>
  <c r="AB111" i="7"/>
  <c r="AD109" i="7"/>
  <c r="AC109" i="7"/>
  <c r="AB109" i="7"/>
  <c r="AD105" i="7"/>
  <c r="AC105" i="7"/>
  <c r="AB105" i="7"/>
  <c r="AD102" i="7"/>
  <c r="AC102" i="7"/>
  <c r="AB102" i="7"/>
  <c r="AD100" i="7"/>
  <c r="AC100" i="7"/>
  <c r="AB100" i="7"/>
  <c r="AD99" i="7"/>
  <c r="AC99" i="7"/>
  <c r="AB99" i="7"/>
  <c r="AD98" i="7"/>
  <c r="AC98" i="7"/>
  <c r="AB98" i="7"/>
  <c r="AD97" i="7"/>
  <c r="AC97" i="7"/>
  <c r="AB97" i="7"/>
  <c r="AD96" i="7"/>
  <c r="AC96" i="7"/>
  <c r="AB96" i="7"/>
  <c r="AD95" i="7"/>
  <c r="AC95" i="7"/>
  <c r="AB95" i="7"/>
  <c r="AD94" i="7"/>
  <c r="AC94" i="7"/>
  <c r="AB94" i="7"/>
  <c r="AD93" i="7"/>
  <c r="AC93" i="7"/>
  <c r="AB93" i="7"/>
  <c r="AD92" i="7"/>
  <c r="AC92" i="7"/>
  <c r="AB92" i="7"/>
  <c r="AD90" i="7"/>
  <c r="AC90" i="7"/>
  <c r="AB90" i="7"/>
  <c r="AD87" i="7"/>
  <c r="AC87" i="7"/>
  <c r="AB87" i="7"/>
  <c r="AD84" i="7"/>
  <c r="AC84" i="7"/>
  <c r="AB84" i="7"/>
  <c r="AD81" i="7"/>
  <c r="AC81" i="7"/>
  <c r="AB81" i="7"/>
  <c r="AD79" i="7"/>
  <c r="AC79" i="7"/>
  <c r="AB79" i="7"/>
  <c r="AD78" i="7"/>
  <c r="AC78" i="7"/>
  <c r="AB78" i="7"/>
  <c r="AD77" i="7"/>
  <c r="AC77" i="7"/>
  <c r="AB77" i="7"/>
  <c r="AD76" i="7"/>
  <c r="AC76" i="7"/>
  <c r="AB76" i="7"/>
  <c r="AD75" i="7"/>
  <c r="AC75" i="7"/>
  <c r="AB75" i="7"/>
  <c r="AD74" i="7"/>
  <c r="AC74" i="7"/>
  <c r="AB74" i="7"/>
  <c r="AD72" i="7"/>
  <c r="AC72" i="7"/>
  <c r="AB72" i="7"/>
  <c r="AD70" i="7"/>
  <c r="AC70" i="7"/>
  <c r="AB70" i="7"/>
  <c r="AD67" i="7"/>
  <c r="AC67" i="7"/>
  <c r="AB67" i="7"/>
  <c r="AD65" i="7"/>
  <c r="AC65" i="7"/>
  <c r="AB65" i="7"/>
  <c r="AD63" i="7"/>
  <c r="AC63" i="7"/>
  <c r="AB63" i="7"/>
  <c r="AD62" i="7"/>
  <c r="AC62" i="7"/>
  <c r="AB62" i="7"/>
  <c r="AD61" i="7"/>
  <c r="AC61" i="7"/>
  <c r="AB61" i="7"/>
  <c r="AD59" i="7"/>
  <c r="AC59" i="7"/>
  <c r="AB59" i="7"/>
  <c r="AD58" i="7"/>
  <c r="AC58" i="7"/>
  <c r="AB58" i="7"/>
  <c r="AD57" i="7"/>
  <c r="AC57" i="7"/>
  <c r="AB57" i="7"/>
  <c r="AD55" i="7"/>
  <c r="AC55" i="7"/>
  <c r="AB55" i="7"/>
  <c r="AD54" i="7"/>
  <c r="AC54" i="7"/>
  <c r="AB54" i="7"/>
  <c r="AD52" i="7"/>
  <c r="AC52" i="7"/>
  <c r="AB52" i="7"/>
  <c r="AD51" i="7"/>
  <c r="AC51" i="7"/>
  <c r="AB51" i="7"/>
  <c r="AD49" i="7"/>
  <c r="AC49" i="7"/>
  <c r="AB49" i="7"/>
  <c r="AD48" i="7"/>
  <c r="AC48" i="7"/>
  <c r="AB48" i="7"/>
  <c r="AD47" i="7"/>
  <c r="AC47" i="7"/>
  <c r="AB47" i="7"/>
  <c r="AD46" i="7"/>
  <c r="AC46" i="7"/>
  <c r="AB46" i="7"/>
  <c r="AD44" i="7"/>
  <c r="AC44" i="7"/>
  <c r="AB44" i="7"/>
  <c r="AD42" i="7"/>
  <c r="AC42" i="7"/>
  <c r="AB42" i="7"/>
  <c r="AD40" i="7"/>
  <c r="AC40" i="7"/>
  <c r="AB40" i="7"/>
  <c r="AD37" i="7"/>
  <c r="AC37" i="7"/>
  <c r="AB37" i="7"/>
  <c r="AD33" i="7"/>
  <c r="AC33" i="7"/>
  <c r="AB33" i="7"/>
  <c r="AD32" i="7"/>
  <c r="AC32" i="7"/>
  <c r="AB32" i="7"/>
  <c r="AD31" i="7"/>
  <c r="AC31" i="7"/>
  <c r="AB31" i="7"/>
  <c r="AD29" i="7"/>
  <c r="AC29" i="7"/>
  <c r="AB29" i="7"/>
  <c r="AD28" i="7"/>
  <c r="AC28" i="7"/>
  <c r="AB28" i="7"/>
  <c r="AD27" i="7"/>
  <c r="AC27" i="7"/>
  <c r="AB27" i="7"/>
  <c r="AD24" i="7"/>
  <c r="AC24" i="7"/>
  <c r="AB24" i="7"/>
  <c r="AD23" i="7"/>
  <c r="AC23" i="7"/>
  <c r="AB23" i="7"/>
  <c r="AD21" i="7"/>
  <c r="AC21" i="7"/>
  <c r="AB21" i="7"/>
  <c r="AD20" i="7"/>
  <c r="AC20" i="7"/>
  <c r="AB20" i="7"/>
  <c r="AD19" i="7"/>
  <c r="AC19" i="7"/>
  <c r="AB19" i="7"/>
  <c r="AD17" i="7"/>
  <c r="AC17" i="7"/>
  <c r="AB17" i="7"/>
  <c r="AD16" i="7"/>
  <c r="AC16" i="7"/>
  <c r="AB16" i="7"/>
  <c r="AD15" i="7"/>
  <c r="AC15" i="7"/>
  <c r="AB15" i="7"/>
  <c r="AD13" i="7"/>
  <c r="AC13" i="7"/>
  <c r="AB13" i="7"/>
  <c r="AD12" i="7"/>
  <c r="AC12" i="7"/>
  <c r="AB12" i="7"/>
  <c r="AD11" i="7"/>
  <c r="AC11" i="7"/>
  <c r="AB11" i="7"/>
  <c r="AD9" i="7"/>
  <c r="AC9" i="7"/>
  <c r="AB9" i="7"/>
  <c r="AD8" i="7"/>
  <c r="AC8" i="7"/>
  <c r="AB8" i="7"/>
  <c r="AD7" i="7"/>
  <c r="AC7" i="7"/>
  <c r="AB7" i="7"/>
  <c r="Y37" i="7"/>
  <c r="AA147" i="7" l="1"/>
  <c r="X147" i="7" s="1"/>
  <c r="W147" i="7"/>
  <c r="AA141" i="7"/>
  <c r="X141" i="7" s="1"/>
  <c r="W141" i="7"/>
  <c r="AA133" i="7"/>
  <c r="X133" i="7" s="1"/>
  <c r="W133" i="7"/>
  <c r="AA161" i="7"/>
  <c r="X161" i="7" s="1"/>
  <c r="W161" i="7"/>
  <c r="AA157" i="7"/>
  <c r="X157" i="7" s="1"/>
  <c r="W157" i="7"/>
  <c r="AA137" i="7"/>
  <c r="X137" i="7" s="1"/>
  <c r="W137" i="7"/>
  <c r="AA153" i="7"/>
  <c r="X153" i="7" s="1"/>
  <c r="W153" i="7"/>
  <c r="AA30" i="7"/>
  <c r="X30" i="7" s="1"/>
  <c r="W30" i="7"/>
  <c r="AA34" i="7"/>
  <c r="X34" i="7" s="1"/>
  <c r="W34" i="7"/>
  <c r="AA50" i="7"/>
  <c r="X50" i="7" s="1"/>
  <c r="W50" i="7"/>
  <c r="AA56" i="7"/>
  <c r="X56" i="7" s="1"/>
  <c r="W56" i="7"/>
  <c r="AA53" i="7"/>
  <c r="X53" i="7" s="1"/>
  <c r="W53" i="7"/>
  <c r="AA60" i="7"/>
  <c r="X60" i="7" s="1"/>
  <c r="W60" i="7"/>
  <c r="AA64" i="7"/>
  <c r="X64" i="7" s="1"/>
  <c r="W64" i="7"/>
  <c r="AA26" i="7"/>
  <c r="X26" i="7" s="1"/>
  <c r="W26" i="7"/>
  <c r="AA25" i="7"/>
  <c r="X25" i="7" s="1"/>
  <c r="W25" i="7"/>
  <c r="AA22" i="7"/>
  <c r="X22" i="7" s="1"/>
  <c r="W22" i="7"/>
  <c r="AA18" i="7"/>
  <c r="X18" i="7" s="1"/>
  <c r="W18" i="7"/>
  <c r="AA14" i="7"/>
  <c r="X14" i="7" s="1"/>
  <c r="W14" i="7"/>
  <c r="W10" i="7"/>
  <c r="AA10" i="7"/>
  <c r="X10" i="7" s="1"/>
  <c r="AA36" i="7"/>
  <c r="X36" i="7" s="1"/>
  <c r="W36" i="7"/>
  <c r="AA35" i="7"/>
  <c r="X35" i="7" s="1"/>
  <c r="W35" i="7"/>
  <c r="AA114" i="7"/>
  <c r="X114" i="7" s="1"/>
  <c r="W114" i="7"/>
  <c r="AA122" i="7"/>
  <c r="X122" i="7" s="1"/>
  <c r="W122" i="7"/>
  <c r="AA118" i="7"/>
  <c r="X118" i="7" s="1"/>
  <c r="W118" i="7"/>
  <c r="AA69" i="7"/>
  <c r="X69" i="7" s="1"/>
  <c r="W69" i="7"/>
  <c r="AA38" i="7"/>
  <c r="X38" i="7" s="1"/>
  <c r="W38" i="7"/>
  <c r="AA39" i="7"/>
  <c r="X39" i="7" s="1"/>
  <c r="W39" i="7"/>
  <c r="AA43" i="7"/>
  <c r="X43" i="7" s="1"/>
  <c r="W43" i="7"/>
  <c r="AA41" i="7"/>
  <c r="X41" i="7" s="1"/>
  <c r="W41" i="7"/>
  <c r="AA45" i="7"/>
  <c r="X45" i="7" s="1"/>
  <c r="W45" i="7"/>
  <c r="W9" i="7"/>
  <c r="W160" i="7"/>
  <c r="AA71" i="7"/>
  <c r="X71" i="7" s="1"/>
  <c r="W71" i="7"/>
  <c r="AA73" i="7"/>
  <c r="X73" i="7" s="1"/>
  <c r="W73" i="7"/>
  <c r="U17" i="7"/>
  <c r="Y17" i="7" s="1"/>
  <c r="AA125" i="7"/>
  <c r="X125" i="7" s="1"/>
  <c r="W125" i="7"/>
  <c r="AA127" i="7"/>
  <c r="X127" i="7" s="1"/>
  <c r="W127" i="7"/>
  <c r="W19" i="7"/>
  <c r="AA129" i="7"/>
  <c r="X129" i="7" s="1"/>
  <c r="W129" i="7"/>
  <c r="U66" i="7"/>
  <c r="Y66" i="7" s="1"/>
  <c r="U82" i="7"/>
  <c r="Y82" i="7" s="1"/>
  <c r="U61" i="7"/>
  <c r="Y61" i="7" s="1"/>
  <c r="U49" i="7"/>
  <c r="Y49" i="7" s="1"/>
  <c r="U144" i="7"/>
  <c r="Y144" i="7" s="1"/>
  <c r="U80" i="7"/>
  <c r="Y80" i="7" s="1"/>
  <c r="U19" i="7"/>
  <c r="Y19" i="7" s="1"/>
  <c r="U23" i="7"/>
  <c r="Y23" i="7" s="1"/>
  <c r="U52" i="7"/>
  <c r="Y52" i="7" s="1"/>
  <c r="U120" i="7"/>
  <c r="Y120" i="7" s="1"/>
  <c r="U130" i="7"/>
  <c r="Y130" i="7" s="1"/>
  <c r="U136" i="7"/>
  <c r="Y136" i="7" s="1"/>
  <c r="U143" i="7"/>
  <c r="Y143" i="7" s="1"/>
  <c r="U149" i="7"/>
  <c r="Y149" i="7" s="1"/>
  <c r="U107" i="7"/>
  <c r="Y107" i="7" s="1"/>
  <c r="U101" i="7"/>
  <c r="Y101" i="7" s="1"/>
  <c r="U7" i="7"/>
  <c r="Y7" i="7" s="1"/>
  <c r="U62" i="7"/>
  <c r="Y62" i="7" s="1"/>
  <c r="U89" i="7"/>
  <c r="Y89" i="7" s="1"/>
  <c r="U121" i="7"/>
  <c r="Y121" i="7" s="1"/>
  <c r="U134" i="7"/>
  <c r="Y134" i="7" s="1"/>
  <c r="U160" i="7"/>
  <c r="Y160" i="7" s="1"/>
  <c r="U85" i="7"/>
  <c r="Y85" i="7" s="1"/>
  <c r="U102" i="7"/>
  <c r="Y102" i="7" s="1"/>
  <c r="U44" i="7"/>
  <c r="Y44" i="7" s="1"/>
  <c r="U97" i="7"/>
  <c r="Y97" i="7" s="1"/>
  <c r="U109" i="7"/>
  <c r="Y109" i="7" s="1"/>
  <c r="U112" i="7"/>
  <c r="Y112" i="7" s="1"/>
  <c r="U135" i="7"/>
  <c r="Y135" i="7" s="1"/>
  <c r="U139" i="7"/>
  <c r="Y139" i="7" s="1"/>
  <c r="U163" i="7"/>
  <c r="Y163" i="7" s="1"/>
  <c r="U110" i="7"/>
  <c r="Y110" i="7" s="1"/>
  <c r="U83" i="7"/>
  <c r="Y83" i="7" s="1"/>
  <c r="U46" i="7"/>
  <c r="Y46" i="7" s="1"/>
  <c r="U63" i="7"/>
  <c r="Y63" i="7" s="1"/>
  <c r="U74" i="7"/>
  <c r="Y74" i="7" s="1"/>
  <c r="U87" i="7"/>
  <c r="Y87" i="7" s="1"/>
  <c r="U124" i="7"/>
  <c r="Y124" i="7" s="1"/>
  <c r="U86" i="7"/>
  <c r="Y86" i="7" s="1"/>
  <c r="U79" i="7"/>
  <c r="Y79" i="7" s="1"/>
  <c r="U27" i="7"/>
  <c r="Y27" i="7" s="1"/>
  <c r="U77" i="7"/>
  <c r="Y77" i="7" s="1"/>
  <c r="U81" i="7"/>
  <c r="Y81" i="7" s="1"/>
  <c r="U117" i="7"/>
  <c r="Y117" i="7" s="1"/>
  <c r="U91" i="7"/>
  <c r="Y91" i="7" s="1"/>
  <c r="U95" i="7"/>
  <c r="Y95" i="7" s="1"/>
  <c r="U103" i="7"/>
  <c r="Y103" i="7" s="1"/>
  <c r="U65" i="7"/>
  <c r="Y65" i="7" s="1"/>
  <c r="U72" i="7"/>
  <c r="Y72" i="7" s="1"/>
  <c r="U115" i="7"/>
  <c r="Y115" i="7" s="1"/>
  <c r="U123" i="7"/>
  <c r="Y123" i="7" s="1"/>
  <c r="U126" i="7"/>
  <c r="Y126" i="7" s="1"/>
  <c r="U131" i="7"/>
  <c r="Y131" i="7" s="1"/>
  <c r="U138" i="7"/>
  <c r="Y138" i="7" s="1"/>
  <c r="U150" i="7"/>
  <c r="Y150" i="7" s="1"/>
  <c r="U154" i="7"/>
  <c r="Y154" i="7" s="1"/>
  <c r="U88" i="7"/>
  <c r="Y88" i="7" s="1"/>
  <c r="U108" i="7"/>
  <c r="Y108" i="7" s="1"/>
  <c r="U162" i="7"/>
  <c r="Y162" i="7" s="1"/>
  <c r="U15" i="7"/>
  <c r="Y15" i="7" s="1"/>
  <c r="Y47" i="7"/>
  <c r="U51" i="7"/>
  <c r="Y51" i="7" s="1"/>
  <c r="U55" i="7"/>
  <c r="Y55" i="7" s="1"/>
  <c r="U84" i="7"/>
  <c r="Y84" i="7" s="1"/>
  <c r="U94" i="7"/>
  <c r="Y94" i="7" s="1"/>
  <c r="U105" i="7"/>
  <c r="Y105" i="7" s="1"/>
  <c r="U119" i="7"/>
  <c r="Y119" i="7" s="1"/>
  <c r="U142" i="7"/>
  <c r="Y142" i="7" s="1"/>
  <c r="U9" i="7"/>
  <c r="Y9" i="7" s="1"/>
  <c r="U20" i="7"/>
  <c r="Y20" i="7" s="1"/>
  <c r="U29" i="7"/>
  <c r="Y29" i="7" s="1"/>
  <c r="U33" i="7"/>
  <c r="Y33" i="7" s="1"/>
  <c r="U40" i="7"/>
  <c r="Y40" i="7" s="1"/>
  <c r="U67" i="7"/>
  <c r="Y67" i="7" s="1"/>
  <c r="U76" i="7"/>
  <c r="Y76" i="7" s="1"/>
  <c r="U92" i="7"/>
  <c r="Y92" i="7" s="1"/>
  <c r="U68" i="7"/>
  <c r="Y68" i="7" s="1"/>
  <c r="U93" i="7"/>
  <c r="Y93" i="7" s="1"/>
  <c r="U116" i="7"/>
  <c r="Y116" i="7" s="1"/>
  <c r="U146" i="7"/>
  <c r="Y146" i="7" s="1"/>
  <c r="U13" i="7"/>
  <c r="Y13" i="7" s="1"/>
  <c r="U16" i="7"/>
  <c r="Y16" i="7" s="1"/>
  <c r="U48" i="7"/>
  <c r="Y48" i="7" s="1"/>
  <c r="U59" i="7"/>
  <c r="Y59" i="7" s="1"/>
  <c r="U78" i="7"/>
  <c r="Y78" i="7" s="1"/>
  <c r="U90" i="7"/>
  <c r="Y90" i="7" s="1"/>
  <c r="U145" i="7"/>
  <c r="Y145" i="7" s="1"/>
  <c r="U151" i="7"/>
  <c r="Y151" i="7" s="1"/>
  <c r="U158" i="7"/>
  <c r="Y158" i="7" s="1"/>
  <c r="U164" i="7"/>
  <c r="Y164" i="7" s="1"/>
  <c r="U75" i="7"/>
  <c r="Y75" i="7" s="1"/>
  <c r="U11" i="7"/>
  <c r="Y11" i="7" s="1"/>
  <c r="U57" i="7"/>
  <c r="Y57" i="7" s="1"/>
  <c r="U96" i="7"/>
  <c r="Y96" i="7" s="1"/>
  <c r="U98" i="7"/>
  <c r="Y98" i="7" s="1"/>
  <c r="U111" i="7"/>
  <c r="Y111" i="7" s="1"/>
  <c r="U113" i="7"/>
  <c r="Y113" i="7" s="1"/>
  <c r="U128" i="7"/>
  <c r="Y128" i="7" s="1"/>
  <c r="U132" i="7"/>
  <c r="Y132" i="7" s="1"/>
  <c r="U155" i="7"/>
  <c r="Y155" i="7" s="1"/>
  <c r="U159" i="7"/>
  <c r="Y159" i="7" s="1"/>
  <c r="U104" i="7"/>
  <c r="Y104" i="7" s="1"/>
  <c r="U99" i="7"/>
  <c r="Y99" i="7" s="1"/>
  <c r="U8" i="7"/>
  <c r="Y8" i="7" s="1"/>
  <c r="U21" i="7"/>
  <c r="Y21" i="7" s="1"/>
  <c r="U24" i="7"/>
  <c r="Y24" i="7" s="1"/>
  <c r="U42" i="7"/>
  <c r="Y42" i="7" s="1"/>
  <c r="U140" i="7"/>
  <c r="Y140" i="7" s="1"/>
  <c r="U152" i="7"/>
  <c r="Y152" i="7" s="1"/>
  <c r="U156" i="7"/>
  <c r="Y156" i="7" s="1"/>
  <c r="U106" i="7"/>
  <c r="Y106" i="7" s="1"/>
  <c r="U148" i="7"/>
  <c r="Y148" i="7" s="1"/>
  <c r="U12" i="7"/>
  <c r="Y12" i="7" s="1"/>
  <c r="U54" i="7"/>
  <c r="Y54" i="7" s="1"/>
  <c r="U58" i="7"/>
  <c r="Y58" i="7" s="1"/>
  <c r="U70" i="7"/>
  <c r="Y70" i="7" s="1"/>
  <c r="U32" i="7"/>
  <c r="Y32" i="7" s="1"/>
  <c r="U100" i="7"/>
  <c r="Y100" i="7" s="1"/>
  <c r="U31" i="7"/>
  <c r="Y31" i="7" s="1"/>
  <c r="U28" i="7"/>
  <c r="Y28" i="7" s="1"/>
  <c r="W119" i="7"/>
  <c r="AA140" i="7"/>
  <c r="X140" i="7" s="1"/>
  <c r="AA146" i="7"/>
  <c r="X146" i="7" s="1"/>
  <c r="AA156" i="7"/>
  <c r="X156" i="7" s="1"/>
  <c r="W65" i="7"/>
  <c r="W96" i="7"/>
  <c r="AA12" i="7"/>
  <c r="X12" i="7" s="1"/>
  <c r="W77" i="7"/>
  <c r="W126" i="7"/>
  <c r="AA148" i="7"/>
  <c r="X148" i="7" s="1"/>
  <c r="AA82" i="7"/>
  <c r="X82" i="7" s="1"/>
  <c r="W46" i="7"/>
  <c r="W98" i="7"/>
  <c r="AA105" i="7"/>
  <c r="X105" i="7" s="1"/>
  <c r="AA66" i="7"/>
  <c r="X66" i="7" s="1"/>
  <c r="AA110" i="7"/>
  <c r="X110" i="7" s="1"/>
  <c r="W27" i="7"/>
  <c r="W51" i="7"/>
  <c r="W82" i="7"/>
  <c r="AA8" i="7"/>
  <c r="X8" i="7" s="1"/>
  <c r="AA87" i="7"/>
  <c r="X87" i="7" s="1"/>
  <c r="W136" i="7"/>
  <c r="AA62" i="7"/>
  <c r="X62" i="7" s="1"/>
  <c r="AA7" i="7"/>
  <c r="X7" i="7" s="1"/>
  <c r="W138" i="7"/>
  <c r="W123" i="7"/>
  <c r="AA160" i="7"/>
  <c r="X160" i="7" s="1"/>
  <c r="AA68" i="7"/>
  <c r="X68" i="7" s="1"/>
  <c r="AA24" i="7"/>
  <c r="X24" i="7" s="1"/>
  <c r="W152" i="7"/>
  <c r="AA72" i="7"/>
  <c r="X72" i="7" s="1"/>
  <c r="AA139" i="7"/>
  <c r="X139" i="7" s="1"/>
  <c r="W28" i="7"/>
  <c r="AA32" i="7"/>
  <c r="X32" i="7" s="1"/>
  <c r="AA126" i="7"/>
  <c r="X126" i="7" s="1"/>
  <c r="AA164" i="7"/>
  <c r="X164" i="7" s="1"/>
  <c r="AA117" i="7"/>
  <c r="X117" i="7" s="1"/>
  <c r="AA52" i="7"/>
  <c r="X52" i="7" s="1"/>
  <c r="W48" i="7"/>
  <c r="W21" i="7"/>
  <c r="AA109" i="7"/>
  <c r="X109" i="7" s="1"/>
  <c r="AA120" i="7"/>
  <c r="X120" i="7" s="1"/>
  <c r="W134" i="7"/>
  <c r="AA29" i="7"/>
  <c r="X29" i="7" s="1"/>
  <c r="W67" i="7"/>
  <c r="AA115" i="7"/>
  <c r="X115" i="7" s="1"/>
  <c r="W148" i="7"/>
  <c r="W16" i="7"/>
  <c r="W103" i="7"/>
  <c r="AA123" i="7"/>
  <c r="X123" i="7" s="1"/>
  <c r="AA47" i="7"/>
  <c r="X47" i="7" s="1"/>
  <c r="AA99" i="7"/>
  <c r="X99" i="7" s="1"/>
  <c r="AA83" i="7"/>
  <c r="X83" i="7" s="1"/>
  <c r="AA37" i="7"/>
  <c r="X37" i="7" s="1"/>
  <c r="W68" i="7"/>
  <c r="AA124" i="7"/>
  <c r="X124" i="7" s="1"/>
  <c r="W107" i="7"/>
  <c r="AA94" i="7"/>
  <c r="X94" i="7" s="1"/>
  <c r="AA76" i="7"/>
  <c r="X76" i="7" s="1"/>
  <c r="W66" i="7"/>
  <c r="AA17" i="7"/>
  <c r="X17" i="7" s="1"/>
  <c r="W155" i="7"/>
  <c r="AA86" i="7"/>
  <c r="X86" i="7" s="1"/>
  <c r="W17" i="7"/>
  <c r="AA130" i="7"/>
  <c r="X130" i="7" s="1"/>
  <c r="AA145" i="7"/>
  <c r="X145" i="7" s="1"/>
  <c r="W63" i="7"/>
  <c r="AA138" i="7"/>
  <c r="X138" i="7" s="1"/>
  <c r="W31" i="7"/>
  <c r="AA92" i="7"/>
  <c r="X92" i="7" s="1"/>
  <c r="W52" i="7"/>
  <c r="AA131" i="7"/>
  <c r="X131" i="7" s="1"/>
  <c r="W89" i="7"/>
  <c r="AA58" i="7"/>
  <c r="X58" i="7" s="1"/>
  <c r="W40" i="7"/>
  <c r="W49" i="7"/>
  <c r="AA159" i="7"/>
  <c r="X159" i="7" s="1"/>
  <c r="W132" i="7"/>
  <c r="W154" i="7"/>
  <c r="W109" i="7"/>
  <c r="W72" i="7"/>
  <c r="AA65" i="7"/>
  <c r="X65" i="7" s="1"/>
  <c r="AA97" i="7"/>
  <c r="X97" i="7" s="1"/>
  <c r="AA78" i="7"/>
  <c r="X78" i="7" s="1"/>
  <c r="W93" i="7"/>
  <c r="W124" i="7"/>
  <c r="W140" i="7"/>
  <c r="AA81" i="7"/>
  <c r="X81" i="7" s="1"/>
  <c r="W156" i="7"/>
  <c r="W151" i="7"/>
  <c r="AA132" i="7"/>
  <c r="X132" i="7" s="1"/>
  <c r="AA103" i="7"/>
  <c r="X103" i="7" s="1"/>
  <c r="W116" i="7"/>
  <c r="AA16" i="7"/>
  <c r="X16" i="7" s="1"/>
  <c r="W91" i="7"/>
  <c r="W90" i="7"/>
  <c r="W128" i="7"/>
  <c r="W76" i="7"/>
  <c r="W33" i="7"/>
  <c r="W20" i="7"/>
  <c r="W62" i="7"/>
  <c r="AA57" i="7"/>
  <c r="X57" i="7" s="1"/>
  <c r="AA116" i="7"/>
  <c r="X116" i="7" s="1"/>
  <c r="W158" i="7"/>
  <c r="W144" i="7"/>
  <c r="W86" i="7"/>
  <c r="W88" i="7"/>
  <c r="AA15" i="7"/>
  <c r="X15" i="7" s="1"/>
  <c r="AA40" i="7"/>
  <c r="X40" i="7" s="1"/>
  <c r="W70" i="7"/>
  <c r="AA90" i="7"/>
  <c r="X90" i="7" s="1"/>
  <c r="AA74" i="7"/>
  <c r="X74" i="7" s="1"/>
  <c r="AA134" i="7"/>
  <c r="X134" i="7" s="1"/>
  <c r="W162" i="7"/>
  <c r="AA84" i="7"/>
  <c r="X84" i="7" s="1"/>
  <c r="AA102" i="7"/>
  <c r="X102" i="7" s="1"/>
  <c r="AA112" i="7"/>
  <c r="X112" i="7" s="1"/>
  <c r="W163" i="7"/>
  <c r="AA155" i="7"/>
  <c r="X155" i="7" s="1"/>
  <c r="AA9" i="7"/>
  <c r="X9" i="7" s="1"/>
  <c r="AA106" i="7"/>
  <c r="X106" i="7" s="1"/>
  <c r="W101" i="7"/>
  <c r="W112" i="7"/>
  <c r="AA163" i="7"/>
  <c r="X163" i="7" s="1"/>
  <c r="W44" i="7"/>
  <c r="W115" i="7"/>
  <c r="AA46" i="7"/>
  <c r="X46" i="7" s="1"/>
  <c r="W106" i="7"/>
  <c r="AA151" i="7"/>
  <c r="X151" i="7" s="1"/>
  <c r="W131" i="7"/>
  <c r="W149" i="7"/>
  <c r="AA89" i="7"/>
  <c r="X89" i="7" s="1"/>
  <c r="AA107" i="7"/>
  <c r="X107" i="7" s="1"/>
  <c r="W104" i="7"/>
  <c r="W108" i="7"/>
  <c r="W29" i="7"/>
  <c r="AA100" i="7"/>
  <c r="X100" i="7" s="1"/>
  <c r="AA150" i="7"/>
  <c r="X150" i="7" s="1"/>
  <c r="AA21" i="7"/>
  <c r="X21" i="7" s="1"/>
  <c r="AA144" i="7"/>
  <c r="X144" i="7" s="1"/>
  <c r="AA51" i="7"/>
  <c r="X51" i="7" s="1"/>
  <c r="AA111" i="7"/>
  <c r="X111" i="7" s="1"/>
  <c r="W164" i="7"/>
  <c r="AA108" i="7"/>
  <c r="X108" i="7" s="1"/>
  <c r="AA85" i="7"/>
  <c r="X85" i="7" s="1"/>
  <c r="AA80" i="7"/>
  <c r="X80" i="7" s="1"/>
  <c r="W120" i="7"/>
  <c r="AA28" i="7"/>
  <c r="X28" i="7" s="1"/>
  <c r="W100" i="7"/>
  <c r="W83" i="7"/>
  <c r="AA96" i="7"/>
  <c r="X96" i="7" s="1"/>
  <c r="W75" i="7"/>
  <c r="W74" i="7"/>
  <c r="W42" i="7"/>
  <c r="AA101" i="7"/>
  <c r="X101" i="7" s="1"/>
  <c r="W94" i="7"/>
  <c r="W54" i="7"/>
  <c r="AA113" i="7"/>
  <c r="X113" i="7" s="1"/>
  <c r="W61" i="7"/>
  <c r="W99" i="7"/>
  <c r="AA23" i="7"/>
  <c r="X23" i="7" s="1"/>
  <c r="W57" i="7"/>
  <c r="AA20" i="7"/>
  <c r="X20" i="7" s="1"/>
  <c r="W105" i="7"/>
  <c r="AA33" i="7"/>
  <c r="X33" i="7" s="1"/>
  <c r="W13" i="7"/>
  <c r="W92" i="7"/>
  <c r="W150" i="7"/>
  <c r="W23" i="7"/>
  <c r="AA154" i="7"/>
  <c r="X154" i="7" s="1"/>
  <c r="AA44" i="7"/>
  <c r="X44" i="7" s="1"/>
  <c r="W15" i="7"/>
  <c r="W32" i="7"/>
  <c r="AA95" i="7"/>
  <c r="X95" i="7" s="1"/>
  <c r="AA48" i="7"/>
  <c r="X48" i="7" s="1"/>
  <c r="AA42" i="7"/>
  <c r="X42" i="7" s="1"/>
  <c r="W79" i="7"/>
  <c r="W159" i="7"/>
  <c r="W142" i="7"/>
  <c r="AA98" i="7"/>
  <c r="X98" i="7" s="1"/>
  <c r="W121" i="7"/>
  <c r="W84" i="7"/>
  <c r="AA70" i="7"/>
  <c r="X70" i="7" s="1"/>
  <c r="W95" i="7"/>
  <c r="W12" i="7"/>
  <c r="AA54" i="7"/>
  <c r="X54" i="7" s="1"/>
  <c r="W80" i="7"/>
  <c r="AA162" i="7"/>
  <c r="X162" i="7" s="1"/>
  <c r="AA67" i="7"/>
  <c r="X67" i="7" s="1"/>
  <c r="AA63" i="7"/>
  <c r="X63" i="7" s="1"/>
  <c r="AA128" i="7"/>
  <c r="X128" i="7" s="1"/>
  <c r="W113" i="7"/>
  <c r="W11" i="7"/>
  <c r="W87" i="7"/>
  <c r="AA158" i="7"/>
  <c r="X158" i="7" s="1"/>
  <c r="W117" i="7"/>
  <c r="W110" i="7"/>
  <c r="W97" i="7"/>
  <c r="W55" i="7"/>
  <c r="AA143" i="7"/>
  <c r="X143" i="7" s="1"/>
  <c r="AA31" i="7"/>
  <c r="X31" i="7" s="1"/>
  <c r="W145" i="7"/>
  <c r="AA55" i="7"/>
  <c r="X55" i="7" s="1"/>
  <c r="W130" i="7"/>
  <c r="AA136" i="7"/>
  <c r="X136" i="7" s="1"/>
  <c r="AA142" i="7"/>
  <c r="X142" i="7" s="1"/>
  <c r="W59" i="7"/>
  <c r="W24" i="7"/>
  <c r="AA11" i="7"/>
  <c r="X11" i="7" s="1"/>
  <c r="W58" i="7"/>
  <c r="AA13" i="7"/>
  <c r="X13" i="7" s="1"/>
  <c r="AA135" i="7"/>
  <c r="X135" i="7" s="1"/>
  <c r="W135" i="7"/>
  <c r="AA152" i="7"/>
  <c r="X152" i="7" s="1"/>
  <c r="AA19" i="7"/>
  <c r="X19" i="7" s="1"/>
  <c r="W78" i="7"/>
  <c r="AA93" i="7"/>
  <c r="X93" i="7" s="1"/>
  <c r="AA61" i="7"/>
  <c r="X61" i="7" s="1"/>
  <c r="AA79" i="7"/>
  <c r="X79" i="7" s="1"/>
  <c r="AA49" i="7"/>
  <c r="X49" i="7" s="1"/>
  <c r="W8" i="7"/>
  <c r="AA104" i="7"/>
  <c r="X104" i="7" s="1"/>
  <c r="AA77" i="7"/>
  <c r="X77" i="7" s="1"/>
  <c r="W102" i="7"/>
  <c r="AA27" i="7"/>
  <c r="X27" i="7" s="1"/>
  <c r="W85" i="7"/>
  <c r="W139" i="7"/>
  <c r="AA91" i="7"/>
  <c r="X91" i="7" s="1"/>
  <c r="W111" i="7"/>
  <c r="AA59" i="7"/>
  <c r="X59" i="7" s="1"/>
  <c r="AA149" i="7"/>
  <c r="X149" i="7" s="1"/>
  <c r="AA121" i="7"/>
  <c r="X121" i="7" s="1"/>
  <c r="W143" i="7"/>
  <c r="AA75" i="7"/>
  <c r="X75" i="7" s="1"/>
  <c r="AA119" i="7"/>
  <c r="X119" i="7" s="1"/>
  <c r="W81" i="7"/>
  <c r="AA88" i="7"/>
  <c r="X88" i="7" s="1"/>
  <c r="W14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Giancarlo Allegretti</author>
  </authors>
  <commentList>
    <comment ref="Z6" authorId="0" shapeId="0" xr:uid="{00000000-0006-0000-0000-000001000000}">
      <text>
        <r>
          <rPr>
            <b/>
            <sz val="9"/>
            <color indexed="81"/>
            <rFont val="Tahoma"/>
            <family val="2"/>
          </rPr>
          <t>Giancarlo Allegretti:</t>
        </r>
        <r>
          <rPr>
            <sz val="9"/>
            <color indexed="81"/>
            <rFont val="Tahoma"/>
            <family val="2"/>
          </rPr>
          <t xml:space="preserve">
ULTIMO CERTIFICATO "NO" E STORICO "SI"</t>
        </r>
      </text>
    </comment>
  </commentList>
</comments>
</file>

<file path=xl/sharedStrings.xml><?xml version="1.0" encoding="utf-8"?>
<sst xmlns="http://schemas.openxmlformats.org/spreadsheetml/2006/main" count="1258" uniqueCount="306">
  <si>
    <t>Modello / Tipo</t>
  </si>
  <si>
    <t>Costruttore</t>
  </si>
  <si>
    <t>Matricola</t>
  </si>
  <si>
    <t>Certificato Taratura</t>
  </si>
  <si>
    <t>Range Strumento</t>
  </si>
  <si>
    <t>Errore max %</t>
  </si>
  <si>
    <t>Scadenza Certificato</t>
  </si>
  <si>
    <t>WIKA</t>
  </si>
  <si>
    <t>1A00G6KKH2I</t>
  </si>
  <si>
    <t>-1 ÷ 3 Bar</t>
  </si>
  <si>
    <t>1A00G6KJFIG</t>
  </si>
  <si>
    <t>1A00G6KLT2V</t>
  </si>
  <si>
    <t>1A00G6NEDIC</t>
  </si>
  <si>
    <t>0 ÷ 6 Bar</t>
  </si>
  <si>
    <t>1A00G6NFK2J</t>
  </si>
  <si>
    <t>1A00G6NHYJ0</t>
  </si>
  <si>
    <t>1A00G6NGE2E</t>
  </si>
  <si>
    <t>1A00G6NJ1I5</t>
  </si>
  <si>
    <t>1A00G6NKAIF</t>
  </si>
  <si>
    <t>0 ÷ 100 Bar</t>
  </si>
  <si>
    <t>0 ÷ 400 Bar</t>
  </si>
  <si>
    <t>0 ÷ 60 Bar</t>
  </si>
  <si>
    <t>0 ÷ 10 Bar</t>
  </si>
  <si>
    <t>1A00G6NNYJ6</t>
  </si>
  <si>
    <t>MEMOCAL2000</t>
  </si>
  <si>
    <t>EUROTHERM</t>
  </si>
  <si>
    <t>IT07.10.3472</t>
  </si>
  <si>
    <t>MULTIMETRO DIGITALE</t>
  </si>
  <si>
    <t>CONTROL PROCES</t>
  </si>
  <si>
    <t>160123-10</t>
  </si>
  <si>
    <t>0 ÷ 300 Bar</t>
  </si>
  <si>
    <t>160123-7</t>
  </si>
  <si>
    <t>0 ÷ 30 Bar</t>
  </si>
  <si>
    <t>160123-5</t>
  </si>
  <si>
    <t>160123-6</t>
  </si>
  <si>
    <t>160123-4</t>
  </si>
  <si>
    <t>160123-3</t>
  </si>
  <si>
    <t>160123-2</t>
  </si>
  <si>
    <t>160123-9</t>
  </si>
  <si>
    <t>160123-11</t>
  </si>
  <si>
    <t>160123-12</t>
  </si>
  <si>
    <t>MANOMETRO DIGITALE</t>
  </si>
  <si>
    <t>CALIBRATORE DI LOOP</t>
  </si>
  <si>
    <t>FLUKE</t>
  </si>
  <si>
    <t>4 ÷ 20 mA</t>
  </si>
  <si>
    <t>0 ÷ 60 mA</t>
  </si>
  <si>
    <t>-4000 ÷ +20000 Mv</t>
  </si>
  <si>
    <t>IT1641000002</t>
  </si>
  <si>
    <t>IT1641000001</t>
  </si>
  <si>
    <t>TERMOCOPPIA CAMPIONE</t>
  </si>
  <si>
    <t>METO CONTROLS</t>
  </si>
  <si>
    <t>MT-TR07</t>
  </si>
  <si>
    <t>-40 ÷ +600 °C</t>
  </si>
  <si>
    <t>CTC TERMOFAS</t>
  </si>
  <si>
    <t>T-CTC-TERMOFAS</t>
  </si>
  <si>
    <t>-270 ÷ +400 °C</t>
  </si>
  <si>
    <t>J-CTC-TERMOFAS</t>
  </si>
  <si>
    <t>-210 ÷ +1200 °C</t>
  </si>
  <si>
    <t>K-CTC-TERMOFAS</t>
  </si>
  <si>
    <t>-270 ÷ +1370 °C</t>
  </si>
  <si>
    <t>TERMORESISTENZA CAMPIONE</t>
  </si>
  <si>
    <t>082-20</t>
  </si>
  <si>
    <t>224-19</t>
  </si>
  <si>
    <t>222-19</t>
  </si>
  <si>
    <t>221-19</t>
  </si>
  <si>
    <t>RS Pro</t>
  </si>
  <si>
    <t>CALIBR. TEMPERATURA</t>
  </si>
  <si>
    <t>DRUCK</t>
  </si>
  <si>
    <t>0 ÷ 2 Bar</t>
  </si>
  <si>
    <t>0 ÷ 20 Bar</t>
  </si>
  <si>
    <t>0 ÷ 140 Bar</t>
  </si>
  <si>
    <t>GUASTO</t>
  </si>
  <si>
    <t>152-21</t>
  </si>
  <si>
    <t>151-21</t>
  </si>
  <si>
    <t>150-21</t>
  </si>
  <si>
    <t>152-22</t>
  </si>
  <si>
    <t>150-22</t>
  </si>
  <si>
    <t>153-22</t>
  </si>
  <si>
    <t>151-22</t>
  </si>
  <si>
    <t>019-23</t>
  </si>
  <si>
    <t>048-23</t>
  </si>
  <si>
    <t>049-23</t>
  </si>
  <si>
    <t>050-23</t>
  </si>
  <si>
    <t>055-23</t>
  </si>
  <si>
    <t>057-23</t>
  </si>
  <si>
    <t>061-23</t>
  </si>
  <si>
    <t>060-23</t>
  </si>
  <si>
    <t>056-23</t>
  </si>
  <si>
    <t>066-23</t>
  </si>
  <si>
    <t>059-23</t>
  </si>
  <si>
    <t>063-23</t>
  </si>
  <si>
    <t>065-23</t>
  </si>
  <si>
    <t>058-23</t>
  </si>
  <si>
    <t>062-23</t>
  </si>
  <si>
    <t>064-23</t>
  </si>
  <si>
    <t>MULTIM. DIGITALE</t>
  </si>
  <si>
    <r>
      <t>0</t>
    </r>
    <r>
      <rPr>
        <sz val="14"/>
        <rFont val="Calibri"/>
        <family val="2"/>
      </rPr>
      <t>÷</t>
    </r>
    <r>
      <rPr>
        <sz val="14"/>
        <rFont val="Arial"/>
        <family val="2"/>
      </rPr>
      <t>60 mA</t>
    </r>
  </si>
  <si>
    <t>1A031247L1D</t>
  </si>
  <si>
    <t>089-24</t>
  </si>
  <si>
    <t>1A031248U1N</t>
  </si>
  <si>
    <t>090-24</t>
  </si>
  <si>
    <t>088-24</t>
  </si>
  <si>
    <t>62680905WS</t>
  </si>
  <si>
    <t>62820779WS</t>
  </si>
  <si>
    <t>62820823WS</t>
  </si>
  <si>
    <t>Stato Certificato</t>
  </si>
  <si>
    <t>112-24</t>
  </si>
  <si>
    <t>113-24</t>
  </si>
  <si>
    <t>114-24</t>
  </si>
  <si>
    <t>LISTA STRUMENTI CAMPIONE SECONDARI ISAB SUD SCADUTI E PROSSIMI ALLA SCADENZA</t>
  </si>
  <si>
    <t>103-23</t>
  </si>
  <si>
    <t>102-23</t>
  </si>
  <si>
    <t>115-24</t>
  </si>
  <si>
    <t>122-24</t>
  </si>
  <si>
    <t>123-24</t>
  </si>
  <si>
    <t>121-24</t>
  </si>
  <si>
    <t>120-24</t>
  </si>
  <si>
    <t>119-24</t>
  </si>
  <si>
    <t>118-24</t>
  </si>
  <si>
    <t>117-24</t>
  </si>
  <si>
    <t>116-24</t>
  </si>
  <si>
    <t>088-23</t>
  </si>
  <si>
    <t>089-23</t>
  </si>
  <si>
    <t>AGGIUNTIVO</t>
  </si>
  <si>
    <t>NOTE</t>
  </si>
  <si>
    <t>IN DOTAZIONE A</t>
  </si>
  <si>
    <t>SI</t>
  </si>
  <si>
    <t>CERTIFICATO IN ARCHIVIO</t>
  </si>
  <si>
    <t>Emissione Certificato</t>
  </si>
  <si>
    <t>FILTRO UTILIZZO CERTIFICATI</t>
  </si>
  <si>
    <t>DATA SCHEDA:</t>
  </si>
  <si>
    <t>ID-COEMI</t>
  </si>
  <si>
    <t>133-24</t>
  </si>
  <si>
    <t>198-20</t>
  </si>
  <si>
    <t>197-20</t>
  </si>
  <si>
    <t>134-24</t>
  </si>
  <si>
    <t>199-20</t>
  </si>
  <si>
    <t>132-24</t>
  </si>
  <si>
    <t>CAT03507</t>
  </si>
  <si>
    <t>CAT03508</t>
  </si>
  <si>
    <t>CAT03506</t>
  </si>
  <si>
    <t>CAT09252</t>
  </si>
  <si>
    <t>CAT09251</t>
  </si>
  <si>
    <t>CAT09250</t>
  </si>
  <si>
    <t>037-23</t>
  </si>
  <si>
    <t>049-22</t>
  </si>
  <si>
    <t>NON INSERITO NEL CERTIFICATO</t>
  </si>
  <si>
    <t>038-23</t>
  </si>
  <si>
    <t>050-22</t>
  </si>
  <si>
    <t>039-23</t>
  </si>
  <si>
    <t>051-22</t>
  </si>
  <si>
    <t>031-23</t>
  </si>
  <si>
    <t>025-22</t>
  </si>
  <si>
    <t>CAT03503</t>
  </si>
  <si>
    <t>032-23</t>
  </si>
  <si>
    <t>024-22</t>
  </si>
  <si>
    <t>CAT03502</t>
  </si>
  <si>
    <t>034-23</t>
  </si>
  <si>
    <t>046-22</t>
  </si>
  <si>
    <t>033-23</t>
  </si>
  <si>
    <t>045-22</t>
  </si>
  <si>
    <t>036-23</t>
  </si>
  <si>
    <t>048-22</t>
  </si>
  <si>
    <t>042-23</t>
  </si>
  <si>
    <t>114-22</t>
  </si>
  <si>
    <t>CAT01847</t>
  </si>
  <si>
    <t>135-24</t>
  </si>
  <si>
    <t>CAT03564</t>
  </si>
  <si>
    <t>138-24</t>
  </si>
  <si>
    <t>CAT03563</t>
  </si>
  <si>
    <t>137-24</t>
  </si>
  <si>
    <t>CAT03566</t>
  </si>
  <si>
    <t>136-24</t>
  </si>
  <si>
    <t>CAT03565</t>
  </si>
  <si>
    <t>041-23</t>
  </si>
  <si>
    <t>CAT01846</t>
  </si>
  <si>
    <t>113-22</t>
  </si>
  <si>
    <t>046-23</t>
  </si>
  <si>
    <t>115-22</t>
  </si>
  <si>
    <t>CAT01848</t>
  </si>
  <si>
    <t>035-23</t>
  </si>
  <si>
    <t>047-22</t>
  </si>
  <si>
    <t>CAT09193</t>
  </si>
  <si>
    <t>CAT09191</t>
  </si>
  <si>
    <t>CAT09190</t>
  </si>
  <si>
    <t xml:space="preserve"> 1A031249O1I</t>
  </si>
  <si>
    <t>CAT03500</t>
  </si>
  <si>
    <t>CAT03501</t>
  </si>
  <si>
    <t>NO</t>
  </si>
  <si>
    <t>ISO 00939/24</t>
  </si>
  <si>
    <t>ISO 00938/24</t>
  </si>
  <si>
    <t>ISO 00937/24</t>
  </si>
  <si>
    <t>053-22</t>
  </si>
  <si>
    <t>144-24</t>
  </si>
  <si>
    <t>055-22</t>
  </si>
  <si>
    <t>143-24</t>
  </si>
  <si>
    <t>056-22</t>
  </si>
  <si>
    <t>146-24</t>
  </si>
  <si>
    <t>103-22</t>
  </si>
  <si>
    <t>101-22</t>
  </si>
  <si>
    <t>149-24</t>
  </si>
  <si>
    <t>CAT01908</t>
  </si>
  <si>
    <t>CAT01907</t>
  </si>
  <si>
    <t>147-24</t>
  </si>
  <si>
    <t>102-22</t>
  </si>
  <si>
    <t>CAT01909</t>
  </si>
  <si>
    <t>148-24</t>
  </si>
  <si>
    <t>CANTIERE SONATRACH</t>
  </si>
  <si>
    <t>105-22</t>
  </si>
  <si>
    <t>151-24</t>
  </si>
  <si>
    <t>CAT01903</t>
  </si>
  <si>
    <t>107-22</t>
  </si>
  <si>
    <t>153-24</t>
  </si>
  <si>
    <t>106-22</t>
  </si>
  <si>
    <t>150-24</t>
  </si>
  <si>
    <t>CAT01906</t>
  </si>
  <si>
    <t>104-22</t>
  </si>
  <si>
    <t>152-24</t>
  </si>
  <si>
    <t>CAT01905</t>
  </si>
  <si>
    <t>NON IN USO</t>
  </si>
  <si>
    <t>CERTIFICATO RINNOVATO?</t>
  </si>
  <si>
    <t>142-24</t>
  </si>
  <si>
    <t>108-22</t>
  </si>
  <si>
    <t>055-21</t>
  </si>
  <si>
    <t>154-24</t>
  </si>
  <si>
    <t>CAT01899</t>
  </si>
  <si>
    <t>109-22</t>
  </si>
  <si>
    <t>155-24</t>
  </si>
  <si>
    <t>CAT01900</t>
  </si>
  <si>
    <t>112-22</t>
  </si>
  <si>
    <t>158-24</t>
  </si>
  <si>
    <t>110-22</t>
  </si>
  <si>
    <t>156-24</t>
  </si>
  <si>
    <t>CAT01901</t>
  </si>
  <si>
    <t>111-22</t>
  </si>
  <si>
    <t>157-24</t>
  </si>
  <si>
    <t>CAT01902</t>
  </si>
  <si>
    <t>MANOM. DIGITALE</t>
  </si>
  <si>
    <t>162-24</t>
  </si>
  <si>
    <t>CAT03950</t>
  </si>
  <si>
    <t>161-24</t>
  </si>
  <si>
    <t>CAT03951</t>
  </si>
  <si>
    <t>047-23</t>
  </si>
  <si>
    <t>MANOM, DIGITALE</t>
  </si>
  <si>
    <t>178-24</t>
  </si>
  <si>
    <t>177-24</t>
  </si>
  <si>
    <t>CAT09194</t>
  </si>
  <si>
    <t>LAT 042 00854/24</t>
  </si>
  <si>
    <t>scaduti e in scadenza fra meno di 60 giorni</t>
  </si>
  <si>
    <t>016-25</t>
  </si>
  <si>
    <t>017-25</t>
  </si>
  <si>
    <t>018-25</t>
  </si>
  <si>
    <t>CAT09195</t>
  </si>
  <si>
    <t>045-25</t>
  </si>
  <si>
    <t>LAT 042 00853/24</t>
  </si>
  <si>
    <t>044-25</t>
  </si>
  <si>
    <t>CAT04120</t>
  </si>
  <si>
    <t>CAT04121</t>
  </si>
  <si>
    <t>CAT04122</t>
  </si>
  <si>
    <t>CAT04123</t>
  </si>
  <si>
    <t>CAT04124</t>
  </si>
  <si>
    <t>CAT04125</t>
  </si>
  <si>
    <t>CAT04126</t>
  </si>
  <si>
    <t>CAT02003</t>
  </si>
  <si>
    <t>CAT04119</t>
  </si>
  <si>
    <t>CAT04131</t>
  </si>
  <si>
    <t>CAT04130</t>
  </si>
  <si>
    <t>CAT04129</t>
  </si>
  <si>
    <t>CAT04105</t>
  </si>
  <si>
    <t>100-25</t>
  </si>
  <si>
    <t>101-25</t>
  </si>
  <si>
    <t>102-25</t>
  </si>
  <si>
    <t>106-25</t>
  </si>
  <si>
    <t>107-25</t>
  </si>
  <si>
    <t>108-25</t>
  </si>
  <si>
    <t>AEP Trasducer</t>
  </si>
  <si>
    <t>098-25</t>
  </si>
  <si>
    <t>CAT01367</t>
  </si>
  <si>
    <t>CAT01647</t>
  </si>
  <si>
    <t>099-25</t>
  </si>
  <si>
    <t>109-25</t>
  </si>
  <si>
    <t>110-25</t>
  </si>
  <si>
    <t>111-25</t>
  </si>
  <si>
    <t>112-25</t>
  </si>
  <si>
    <t>113-25</t>
  </si>
  <si>
    <r>
      <t>0</t>
    </r>
    <r>
      <rPr>
        <sz val="14"/>
        <rFont val="Calibri"/>
        <family val="2"/>
      </rPr>
      <t>÷</t>
    </r>
    <r>
      <rPr>
        <sz val="14"/>
        <rFont val="Arial"/>
        <family val="2"/>
      </rPr>
      <t>60 Ma</t>
    </r>
  </si>
  <si>
    <t>131-25</t>
  </si>
  <si>
    <t>130-25</t>
  </si>
  <si>
    <t>128-25</t>
  </si>
  <si>
    <t>129-25</t>
  </si>
  <si>
    <t>126-25</t>
  </si>
  <si>
    <t>127-25</t>
  </si>
  <si>
    <t>123-25</t>
  </si>
  <si>
    <t>132-25</t>
  </si>
  <si>
    <t>136-25</t>
  </si>
  <si>
    <t>133-25</t>
  </si>
  <si>
    <t>134-25</t>
  </si>
  <si>
    <t>135-25</t>
  </si>
  <si>
    <t>137-25</t>
  </si>
  <si>
    <t>161-25</t>
  </si>
  <si>
    <t>159-25</t>
  </si>
  <si>
    <t>160-25</t>
  </si>
  <si>
    <t>171-25</t>
  </si>
  <si>
    <t>CAT09380</t>
  </si>
  <si>
    <t>CAT09382</t>
  </si>
  <si>
    <t>CAT09381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</si>
</sst>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name val="Arial"/>
    </font>
    <font>
      <sz val="12"/>
      <name val="Arial"/>
      <family val="2"/>
    </font>
    <font>
      <b/>
      <sz val="11"/>
      <name val="Arial"/>
      <family val="2"/>
    </font>
    <font>
      <sz val="10"/>
      <name val="Arial"/>
      <family val="2"/>
    </font>
    <font>
      <sz val="14"/>
      <name val="Arial"/>
      <family val="2"/>
    </font>
    <font>
      <sz val="11"/>
      <name val="Arial"/>
      <family val="2"/>
    </font>
    <font>
      <sz val="14"/>
      <name val="Calibri"/>
      <family val="2"/>
    </font>
    <font>
      <b/>
      <sz val="22"/>
      <name val="Arial"/>
      <family val="2"/>
    </font>
    <font>
      <b/>
      <sz val="10"/>
      <name val="Arial"/>
      <family val="2"/>
    </font>
    <font>
      <b/>
      <sz val="26"/>
      <name val="Arial"/>
      <family val="2"/>
    </font>
    <font>
      <sz val="8"/>
      <name val="Arial"/>
      <family val="2"/>
    </font>
    <font>
      <b/>
      <sz val="20"/>
      <name val="Arial"/>
      <family val="2"/>
    </font>
    <font>
      <sz val="13"/>
      <name val="Arial"/>
      <family val="2"/>
    </font>
    <font>
      <sz val="9"/>
      <color indexed="81"/>
      <name val="Tahoma"/>
      <family val="2"/>
    </font>
    <font>
      <b/>
      <sz val="9"/>
      <color indexed="81"/>
      <name val="Tahoma"/>
      <family val="2"/>
    </font>
    <font>
      <u/>
      <sz val="10"/>
      <color theme="10"/>
      <name val="Arial"/>
      <family val="2"/>
    </font>
    <font>
      <b/>
      <sz val="10"/>
      <color theme="1"/>
      <name val="Arial"/>
      <family val="2"/>
    </font>
    <font>
      <sz val="10"/>
      <color theme="1"/>
      <name val="Arial"/>
      <family val="2"/>
    </font>
    <font>
      <b/>
      <sz val="11"/>
      <color theme="0"/>
      <name val="Arial"/>
      <family val="2"/>
    </font>
    <font>
      <b/>
      <sz val="11"/>
      <color theme="1"/>
      <name val="Arial"/>
      <family val="2"/>
    </font>
    <font>
      <sz val="14"/>
      <color theme="1"/>
      <name val="Arial"/>
      <family val="2"/>
    </font>
    <font>
      <b/>
      <sz val="20"/>
      <color theme="1"/>
      <name val="Arial"/>
      <family val="2"/>
    </font>
    <font>
      <b/>
      <sz val="18"/>
      <color rgb="FF000000"/>
      <name val="Arial"/>
      <family val="2"/>
    </font>
  </fonts>
  <fills count="10">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theme="8"/>
        <bgColor indexed="64"/>
      </patternFill>
    </fill>
    <fill>
      <patternFill patternType="solid">
        <fgColor rgb="FFFFC000"/>
        <bgColor indexed="64"/>
      </patternFill>
    </fill>
    <fill>
      <patternFill patternType="solid">
        <fgColor theme="3" tint="0.79998168889431442"/>
        <bgColor indexed="64"/>
      </patternFill>
    </fill>
    <fill>
      <patternFill patternType="solid">
        <fgColor theme="9" tint="0.399975585192419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dashDot">
        <color indexed="64"/>
      </left>
      <right/>
      <top/>
      <bottom/>
      <diagonal/>
    </border>
    <border>
      <left style="dashDot">
        <color indexed="64"/>
      </left>
      <right/>
      <top/>
      <bottom style="dashDot">
        <color indexed="64"/>
      </bottom>
      <diagonal/>
    </border>
    <border>
      <left/>
      <right/>
      <top/>
      <bottom style="dashDot">
        <color indexed="64"/>
      </bottom>
      <diagonal/>
    </border>
    <border>
      <left style="double">
        <color indexed="64"/>
      </left>
      <right/>
      <top style="medium">
        <color indexed="64"/>
      </top>
      <bottom style="thin">
        <color indexed="64"/>
      </bottom>
      <diagonal/>
    </border>
    <border>
      <left/>
      <right style="double">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Dashed">
        <color indexed="64"/>
      </top>
      <bottom/>
      <diagonal/>
    </border>
    <border>
      <left/>
      <right style="dashDot">
        <color indexed="64"/>
      </right>
      <top style="mediumDashed">
        <color indexed="64"/>
      </top>
      <bottom/>
      <diagonal/>
    </border>
    <border>
      <left/>
      <right style="dashDot">
        <color indexed="64"/>
      </right>
      <top/>
      <bottom style="dashDot">
        <color indexed="64"/>
      </bottom>
      <diagonal/>
    </border>
    <border>
      <left/>
      <right/>
      <top/>
      <bottom style="mediumDashed">
        <color indexed="64"/>
      </bottom>
      <diagonal/>
    </border>
    <border>
      <left/>
      <right/>
      <top style="dashDot">
        <color indexed="64"/>
      </top>
      <bottom/>
      <diagonal/>
    </border>
    <border>
      <left/>
      <right style="dashDot">
        <color indexed="64"/>
      </right>
      <top style="dashDot">
        <color indexed="64"/>
      </top>
      <bottom/>
      <diagonal/>
    </border>
    <border>
      <left/>
      <right style="dashDot">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s>
  <cellStyleXfs count="2">
    <xf numFmtId="0" fontId="0" fillId="0" borderId="0"/>
    <xf numFmtId="0" fontId="15" fillId="0" borderId="0" applyNumberFormat="0" applyFill="0" applyBorder="0" applyAlignment="0" applyProtection="0"/>
  </cellStyleXfs>
  <cellXfs count="164">
    <xf numFmtId="0" fontId="0" fillId="0" borderId="0" xfId="0"/>
    <xf numFmtId="0" fontId="8" fillId="0" borderId="0" xfId="0" applyFont="1" applyAlignment="1">
      <alignment horizontal="center" vertical="center"/>
    </xf>
    <xf numFmtId="0" fontId="2" fillId="0" borderId="0" xfId="0" applyFont="1" applyBorder="1" applyAlignment="1" applyProtection="1">
      <alignment vertical="center"/>
      <protection locked="0"/>
    </xf>
    <xf numFmtId="0" fontId="0" fillId="0" borderId="0" xfId="0" applyAlignment="1">
      <alignment horizontal="center" vertical="center"/>
    </xf>
    <xf numFmtId="0" fontId="2" fillId="3" borderId="1" xfId="0" applyFont="1" applyFill="1" applyBorder="1" applyAlignment="1" applyProtection="1">
      <alignment horizontal="center" vertical="center" wrapText="1"/>
      <protection locked="0"/>
    </xf>
    <xf numFmtId="14" fontId="10" fillId="4" borderId="1" xfId="0" applyNumberFormat="1" applyFont="1" applyFill="1" applyBorder="1" applyAlignment="1" applyProtection="1">
      <alignment horizontal="center" vertical="center" wrapText="1"/>
      <protection locked="0"/>
    </xf>
    <xf numFmtId="14" fontId="4" fillId="4" borderId="1" xfId="0" applyNumberFormat="1" applyFont="1" applyFill="1" applyBorder="1" applyAlignment="1" applyProtection="1">
      <alignment horizontal="center" vertical="center"/>
      <protection locked="0"/>
    </xf>
    <xf numFmtId="0" fontId="0" fillId="0" borderId="0" xfId="0" applyNumberFormat="1"/>
    <xf numFmtId="14" fontId="5" fillId="5" borderId="1" xfId="0" applyNumberFormat="1" applyFont="1" applyFill="1" applyBorder="1" applyAlignment="1" applyProtection="1">
      <alignment horizontal="center" vertical="center" wrapText="1"/>
      <protection locked="0"/>
    </xf>
    <xf numFmtId="14" fontId="4" fillId="4" borderId="2" xfId="0" applyNumberFormat="1" applyFont="1" applyFill="1" applyBorder="1" applyAlignment="1" applyProtection="1">
      <alignment horizontal="center" vertical="center"/>
    </xf>
    <xf numFmtId="14" fontId="4" fillId="5" borderId="2" xfId="0" applyNumberFormat="1" applyFont="1" applyFill="1" applyBorder="1" applyAlignment="1" applyProtection="1">
      <alignment horizontal="center" vertical="center"/>
    </xf>
    <xf numFmtId="14" fontId="4" fillId="4" borderId="0" xfId="0" applyNumberFormat="1" applyFont="1" applyFill="1" applyBorder="1" applyAlignment="1" applyProtection="1">
      <alignment horizontal="center" vertical="center"/>
      <protection locked="0"/>
    </xf>
    <xf numFmtId="0" fontId="16" fillId="0" borderId="0" xfId="0" applyFont="1" applyAlignment="1">
      <alignment horizontal="center" vertical="center"/>
    </xf>
    <xf numFmtId="0" fontId="17" fillId="0" borderId="0" xfId="0" applyFont="1" applyFill="1" applyBorder="1"/>
    <xf numFmtId="0" fontId="17" fillId="0" borderId="0" xfId="0" applyFont="1"/>
    <xf numFmtId="0" fontId="17" fillId="0" borderId="0" xfId="0" applyNumberFormat="1" applyFont="1"/>
    <xf numFmtId="0" fontId="17" fillId="0" borderId="0" xfId="0" applyFont="1" applyAlignment="1">
      <alignment horizontal="center" vertical="center"/>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8" fillId="6" borderId="1" xfId="0" applyFont="1" applyFill="1" applyBorder="1" applyAlignment="1" applyProtection="1">
      <alignment horizontal="center" vertical="center" wrapText="1"/>
      <protection locked="0"/>
    </xf>
    <xf numFmtId="0" fontId="19" fillId="3" borderId="1" xfId="0" applyFont="1" applyFill="1" applyBorder="1" applyAlignment="1" applyProtection="1">
      <alignment horizontal="center" vertical="center" wrapText="1"/>
      <protection locked="0"/>
    </xf>
    <xf numFmtId="0" fontId="19" fillId="7" borderId="1" xfId="0" applyFont="1" applyFill="1" applyBorder="1" applyAlignment="1" applyProtection="1">
      <alignment horizontal="center" vertical="center" wrapText="1"/>
      <protection locked="0"/>
    </xf>
    <xf numFmtId="14" fontId="4" fillId="4" borderId="1" xfId="0" applyNumberFormat="1" applyFont="1" applyFill="1" applyBorder="1" applyAlignment="1" applyProtection="1">
      <alignment horizontal="center" vertical="center" wrapText="1"/>
      <protection locked="0"/>
    </xf>
    <xf numFmtId="14" fontId="4" fillId="5" borderId="0" xfId="0" applyNumberFormat="1" applyFont="1" applyFill="1" applyBorder="1" applyAlignment="1" applyProtection="1">
      <alignment horizontal="center" vertical="center"/>
      <protection locked="0"/>
    </xf>
    <xf numFmtId="14" fontId="4" fillId="5" borderId="0" xfId="0" applyNumberFormat="1" applyFont="1" applyFill="1" applyBorder="1" applyAlignment="1" applyProtection="1">
      <alignment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2" xfId="0" applyFont="1" applyFill="1" applyBorder="1" applyAlignment="1" applyProtection="1">
      <alignment horizontal="center" vertical="center"/>
      <protection locked="0"/>
    </xf>
    <xf numFmtId="0" fontId="4" fillId="4" borderId="5" xfId="0" applyFont="1" applyFill="1" applyBorder="1" applyAlignment="1">
      <alignment horizontal="center" vertical="center"/>
    </xf>
    <xf numFmtId="0" fontId="4" fillId="4" borderId="2" xfId="0" applyFont="1" applyFill="1" applyBorder="1" applyAlignment="1">
      <alignment horizontal="center" vertical="center"/>
    </xf>
    <xf numFmtId="0" fontId="1" fillId="4" borderId="4" xfId="0" applyFont="1" applyFill="1" applyBorder="1" applyAlignment="1" applyProtection="1">
      <alignment horizontal="center" vertical="center"/>
      <protection locked="0"/>
    </xf>
    <xf numFmtId="0" fontId="4" fillId="4" borderId="5" xfId="0" quotePrefix="1" applyFont="1" applyFill="1" applyBorder="1" applyAlignment="1">
      <alignment horizontal="center" vertical="center"/>
    </xf>
    <xf numFmtId="10" fontId="4" fillId="4" borderId="5" xfId="0" applyNumberFormat="1" applyFont="1" applyFill="1" applyBorder="1" applyAlignment="1" applyProtection="1">
      <alignment horizontal="center" vertical="center"/>
      <protection locked="0"/>
    </xf>
    <xf numFmtId="10" fontId="4" fillId="4" borderId="2" xfId="0" applyNumberFormat="1" applyFont="1" applyFill="1" applyBorder="1" applyAlignment="1" applyProtection="1">
      <alignment horizontal="center" vertical="center"/>
      <protection locked="0"/>
    </xf>
    <xf numFmtId="0" fontId="20" fillId="4" borderId="5" xfId="1" applyFont="1" applyFill="1" applyBorder="1" applyAlignment="1">
      <alignment horizontal="center" vertical="center"/>
    </xf>
    <xf numFmtId="0" fontId="20" fillId="4" borderId="2" xfId="1" applyFont="1" applyFill="1" applyBorder="1" applyAlignment="1">
      <alignment horizontal="center" vertical="center"/>
    </xf>
    <xf numFmtId="14" fontId="4" fillId="4" borderId="5" xfId="0" applyNumberFormat="1" applyFont="1" applyFill="1" applyBorder="1" applyAlignment="1" applyProtection="1">
      <alignment horizontal="center" vertical="center"/>
      <protection locked="0"/>
    </xf>
    <xf numFmtId="14" fontId="4" fillId="4" borderId="4" xfId="0" applyNumberFormat="1" applyFont="1" applyFill="1" applyBorder="1" applyAlignment="1" applyProtection="1">
      <alignment horizontal="center" vertical="center"/>
      <protection locked="0"/>
    </xf>
    <xf numFmtId="0" fontId="4" fillId="0" borderId="5" xfId="0" quotePrefix="1" applyFont="1" applyFill="1" applyBorder="1" applyAlignment="1">
      <alignment horizontal="center" vertical="center"/>
    </xf>
    <xf numFmtId="0" fontId="4" fillId="0" borderId="2" xfId="0" applyFont="1" applyFill="1" applyBorder="1" applyAlignment="1">
      <alignment horizontal="center" vertical="center"/>
    </xf>
    <xf numFmtId="0" fontId="1" fillId="0" borderId="3" xfId="0" applyFont="1" applyFill="1" applyBorder="1" applyAlignment="1" applyProtection="1">
      <alignment horizontal="center" vertical="center"/>
      <protection locked="0"/>
    </xf>
    <xf numFmtId="0" fontId="1" fillId="0" borderId="2" xfId="0" applyFont="1" applyFill="1" applyBorder="1" applyAlignment="1" applyProtection="1">
      <alignment horizontal="center" vertical="center"/>
      <protection locked="0"/>
    </xf>
    <xf numFmtId="10" fontId="4" fillId="0" borderId="5" xfId="0" applyNumberFormat="1" applyFont="1" applyFill="1" applyBorder="1" applyAlignment="1" applyProtection="1">
      <alignment horizontal="center" vertical="center"/>
      <protection locked="0"/>
    </xf>
    <xf numFmtId="10" fontId="4" fillId="0" borderId="2" xfId="0" applyNumberFormat="1" applyFont="1" applyFill="1" applyBorder="1" applyAlignment="1" applyProtection="1">
      <alignment horizontal="center" vertical="center"/>
      <protection locked="0"/>
    </xf>
    <xf numFmtId="0" fontId="20" fillId="0" borderId="5" xfId="1" applyFont="1" applyFill="1" applyBorder="1" applyAlignment="1">
      <alignment horizontal="center" vertical="center"/>
    </xf>
    <xf numFmtId="0" fontId="20" fillId="0" borderId="2" xfId="1" applyFont="1" applyFill="1" applyBorder="1" applyAlignment="1">
      <alignment horizontal="center" vertical="center"/>
    </xf>
    <xf numFmtId="10" fontId="4" fillId="5" borderId="5" xfId="0" applyNumberFormat="1" applyFont="1" applyFill="1" applyBorder="1" applyAlignment="1" applyProtection="1">
      <alignment horizontal="center" vertical="center"/>
      <protection locked="0"/>
    </xf>
    <xf numFmtId="10" fontId="4" fillId="5" borderId="2" xfId="0" applyNumberFormat="1" applyFont="1" applyFill="1" applyBorder="1" applyAlignment="1" applyProtection="1">
      <alignment horizontal="center" vertical="center"/>
      <protection locked="0"/>
    </xf>
    <xf numFmtId="14" fontId="4" fillId="0" borderId="5" xfId="0" applyNumberFormat="1" applyFont="1" applyFill="1" applyBorder="1" applyAlignment="1" applyProtection="1">
      <alignment horizontal="center" vertical="center"/>
      <protection locked="0"/>
    </xf>
    <xf numFmtId="14" fontId="4" fillId="0" borderId="4" xfId="0" applyNumberFormat="1" applyFont="1" applyFill="1" applyBorder="1" applyAlignment="1" applyProtection="1">
      <alignment horizontal="center" vertical="center"/>
      <protection locked="0"/>
    </xf>
    <xf numFmtId="0" fontId="4" fillId="0" borderId="5"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quotePrefix="1" applyFont="1" applyFill="1" applyBorder="1" applyAlignment="1">
      <alignment horizontal="center" vertical="center"/>
    </xf>
    <xf numFmtId="0" fontId="20" fillId="4" borderId="5" xfId="0" applyFont="1" applyFill="1" applyBorder="1" applyAlignment="1">
      <alignment horizontal="center" vertical="center"/>
    </xf>
    <xf numFmtId="0" fontId="20" fillId="4" borderId="2" xfId="0" applyFont="1" applyFill="1" applyBorder="1" applyAlignment="1">
      <alignment horizontal="center" vertical="center"/>
    </xf>
    <xf numFmtId="0" fontId="4" fillId="4" borderId="2" xfId="0" quotePrefix="1" applyFont="1" applyFill="1" applyBorder="1" applyAlignment="1">
      <alignment horizontal="center" vertical="center"/>
    </xf>
    <xf numFmtId="0" fontId="4" fillId="0" borderId="2" xfId="0" quotePrefix="1" applyFont="1" applyFill="1" applyBorder="1" applyAlignment="1">
      <alignment horizontal="center" vertical="center"/>
    </xf>
    <xf numFmtId="0" fontId="20" fillId="0" borderId="5" xfId="0" applyFont="1" applyFill="1" applyBorder="1" applyAlignment="1">
      <alignment horizontal="center" vertical="center"/>
    </xf>
    <xf numFmtId="0" fontId="20" fillId="0" borderId="2" xfId="0" applyFont="1" applyFill="1" applyBorder="1" applyAlignment="1">
      <alignment horizontal="center" vertical="center"/>
    </xf>
    <xf numFmtId="0" fontId="1" fillId="4" borderId="5" xfId="0" quotePrefix="1" applyFont="1" applyFill="1" applyBorder="1" applyAlignment="1">
      <alignment horizontal="center" vertical="center"/>
    </xf>
    <xf numFmtId="0" fontId="1" fillId="4" borderId="2" xfId="0" quotePrefix="1" applyFont="1" applyFill="1" applyBorder="1" applyAlignment="1">
      <alignment horizontal="center" vertical="center"/>
    </xf>
    <xf numFmtId="0" fontId="11" fillId="3" borderId="7" xfId="0" applyFont="1" applyFill="1" applyBorder="1" applyAlignment="1">
      <alignment horizontal="right" vertical="center" wrapText="1"/>
    </xf>
    <xf numFmtId="0" fontId="11" fillId="3" borderId="0" xfId="0" applyFont="1" applyFill="1" applyBorder="1" applyAlignment="1">
      <alignment horizontal="right" vertical="center" wrapText="1"/>
    </xf>
    <xf numFmtId="0" fontId="11" fillId="3" borderId="8" xfId="0" applyFont="1" applyFill="1" applyBorder="1" applyAlignment="1">
      <alignment horizontal="right" vertical="center" wrapText="1"/>
    </xf>
    <xf numFmtId="0" fontId="11" fillId="3" borderId="9" xfId="0" applyFont="1" applyFill="1" applyBorder="1" applyAlignment="1">
      <alignment horizontal="right" vertical="center" wrapText="1"/>
    </xf>
    <xf numFmtId="0" fontId="2" fillId="0" borderId="10"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8" fillId="6" borderId="10" xfId="0" applyFont="1" applyFill="1" applyBorder="1" applyAlignment="1" applyProtection="1">
      <alignment horizontal="center" vertical="center" wrapText="1"/>
      <protection locked="0"/>
    </xf>
    <xf numFmtId="0" fontId="18" fillId="6" borderId="12" xfId="0" applyFont="1" applyFill="1" applyBorder="1" applyAlignment="1" applyProtection="1">
      <alignment horizontal="center" vertical="center" wrapText="1"/>
      <protection locked="0"/>
    </xf>
    <xf numFmtId="0" fontId="18" fillId="6" borderId="13" xfId="0" applyFont="1" applyFill="1" applyBorder="1" applyAlignment="1" applyProtection="1">
      <alignment horizontal="center" vertical="center" wrapText="1"/>
      <protection locked="0"/>
    </xf>
    <xf numFmtId="0" fontId="4" fillId="4" borderId="5"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4" borderId="5" xfId="0" applyFont="1" applyFill="1" applyBorder="1" applyAlignment="1" applyProtection="1">
      <alignment horizontal="center" vertical="center" wrapText="1"/>
      <protection locked="0"/>
    </xf>
    <xf numFmtId="0" fontId="4" fillId="4" borderId="2" xfId="0" applyFont="1" applyFill="1" applyBorder="1" applyAlignment="1" applyProtection="1">
      <alignment horizontal="center" vertical="center" wrapText="1"/>
      <protection locked="0"/>
    </xf>
    <xf numFmtId="0" fontId="4" fillId="4" borderId="5"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4" borderId="5" xfId="0" quotePrefix="1" applyFont="1" applyFill="1" applyBorder="1" applyAlignment="1" applyProtection="1">
      <alignment horizontal="center" vertical="center" wrapText="1"/>
      <protection locked="0"/>
    </xf>
    <xf numFmtId="0" fontId="4" fillId="4" borderId="2" xfId="0" quotePrefix="1" applyFont="1" applyFill="1" applyBorder="1" applyAlignment="1" applyProtection="1">
      <alignment horizontal="center" vertical="center" wrapText="1"/>
      <protection locked="0"/>
    </xf>
    <xf numFmtId="14" fontId="4" fillId="5" borderId="6" xfId="0" applyNumberFormat="1" applyFont="1" applyFill="1" applyBorder="1" applyAlignment="1" applyProtection="1">
      <alignment horizontal="center" vertical="center"/>
      <protection locked="0"/>
    </xf>
    <xf numFmtId="14" fontId="4" fillId="5" borderId="0" xfId="0" applyNumberFormat="1" applyFont="1" applyFill="1" applyBorder="1" applyAlignment="1" applyProtection="1">
      <alignment horizontal="center" vertical="center"/>
      <protection locked="0"/>
    </xf>
    <xf numFmtId="14" fontId="4" fillId="5" borderId="5" xfId="0" applyNumberFormat="1" applyFont="1" applyFill="1" applyBorder="1" applyAlignment="1" applyProtection="1">
      <alignment horizontal="center" vertical="center"/>
      <protection locked="0"/>
    </xf>
    <xf numFmtId="14" fontId="4" fillId="5" borderId="33" xfId="0" applyNumberFormat="1" applyFont="1" applyFill="1" applyBorder="1" applyAlignment="1" applyProtection="1">
      <alignment horizontal="center" vertical="center"/>
      <protection locked="0"/>
    </xf>
    <xf numFmtId="0" fontId="1" fillId="4" borderId="5" xfId="0" applyFont="1" applyFill="1" applyBorder="1" applyAlignment="1">
      <alignment horizontal="center" vertical="center"/>
    </xf>
    <xf numFmtId="0" fontId="1" fillId="4" borderId="2" xfId="0" applyFont="1" applyFill="1" applyBorder="1" applyAlignment="1">
      <alignment horizontal="center" vertical="center"/>
    </xf>
    <xf numFmtId="0" fontId="1" fillId="5" borderId="3" xfId="0" applyFont="1" applyFill="1" applyBorder="1" applyAlignment="1" applyProtection="1">
      <alignment horizontal="center" vertical="center"/>
      <protection locked="0"/>
    </xf>
    <xf numFmtId="0" fontId="1" fillId="5" borderId="2" xfId="0" applyFont="1" applyFill="1" applyBorder="1" applyAlignment="1" applyProtection="1">
      <alignment horizontal="center" vertical="center"/>
      <protection locked="0"/>
    </xf>
    <xf numFmtId="0" fontId="4" fillId="4" borderId="5" xfId="0" applyNumberFormat="1" applyFont="1" applyFill="1" applyBorder="1" applyAlignment="1">
      <alignment horizontal="center" vertical="center"/>
    </xf>
    <xf numFmtId="14" fontId="4" fillId="5" borderId="4" xfId="0" applyNumberFormat="1" applyFont="1" applyFill="1" applyBorder="1" applyAlignment="1" applyProtection="1">
      <alignment horizontal="center" vertical="center"/>
      <protection locked="0"/>
    </xf>
    <xf numFmtId="0" fontId="7" fillId="8" borderId="21" xfId="0" applyFont="1" applyFill="1" applyBorder="1" applyAlignment="1">
      <alignment horizontal="center" vertical="center"/>
    </xf>
    <xf numFmtId="0" fontId="7" fillId="8" borderId="22" xfId="0" applyFont="1" applyFill="1" applyBorder="1" applyAlignment="1">
      <alignment horizontal="center" vertical="center"/>
    </xf>
    <xf numFmtId="0" fontId="7" fillId="8" borderId="9" xfId="0" applyFont="1" applyFill="1" applyBorder="1" applyAlignment="1">
      <alignment horizontal="center" vertical="center"/>
    </xf>
    <xf numFmtId="0" fontId="7" fillId="8" borderId="23" xfId="0" applyFont="1" applyFill="1" applyBorder="1" applyAlignment="1">
      <alignment horizontal="center" vertical="center"/>
    </xf>
    <xf numFmtId="0" fontId="18" fillId="6" borderId="5" xfId="0" applyFont="1" applyFill="1" applyBorder="1" applyAlignment="1" applyProtection="1">
      <alignment horizontal="center" vertical="center" wrapText="1"/>
      <protection locked="0"/>
    </xf>
    <xf numFmtId="0" fontId="18" fillId="6" borderId="2" xfId="0" applyFont="1" applyFill="1" applyBorder="1" applyAlignment="1" applyProtection="1">
      <alignment horizontal="center" vertical="center" wrapText="1"/>
      <protection locked="0"/>
    </xf>
    <xf numFmtId="0" fontId="0" fillId="0" borderId="25" xfId="0" applyBorder="1" applyAlignment="1">
      <alignment horizontal="center"/>
    </xf>
    <xf numFmtId="0" fontId="5" fillId="4" borderId="3"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14" fontId="21" fillId="3" borderId="26" xfId="0" applyNumberFormat="1" applyFont="1" applyFill="1" applyBorder="1" applyAlignment="1" applyProtection="1">
      <alignment horizontal="left" vertical="center"/>
      <protection locked="0"/>
    </xf>
    <xf numFmtId="14" fontId="21" fillId="3" borderId="27" xfId="0" applyNumberFormat="1" applyFont="1" applyFill="1" applyBorder="1" applyAlignment="1" applyProtection="1">
      <alignment horizontal="left" vertical="center"/>
      <protection locked="0"/>
    </xf>
    <xf numFmtId="14" fontId="21" fillId="3" borderId="23" xfId="0" applyNumberFormat="1" applyFont="1" applyFill="1" applyBorder="1" applyAlignment="1" applyProtection="1">
      <alignment horizontal="left" vertical="center"/>
      <protection locked="0"/>
    </xf>
    <xf numFmtId="14" fontId="9" fillId="7" borderId="21" xfId="0" applyNumberFormat="1" applyFont="1" applyFill="1" applyBorder="1" applyAlignment="1">
      <alignment horizontal="center" vertical="center"/>
    </xf>
    <xf numFmtId="14" fontId="9" fillId="9" borderId="21" xfId="0" applyNumberFormat="1" applyFont="1" applyFill="1" applyBorder="1" applyAlignment="1">
      <alignment horizontal="center" vertical="center"/>
    </xf>
    <xf numFmtId="14" fontId="9" fillId="7" borderId="24" xfId="0" applyNumberFormat="1" applyFont="1" applyFill="1" applyBorder="1" applyAlignment="1">
      <alignment horizontal="center" vertical="center"/>
    </xf>
    <xf numFmtId="14" fontId="9" fillId="9" borderId="24" xfId="0" applyNumberFormat="1" applyFont="1" applyFill="1" applyBorder="1" applyAlignment="1">
      <alignment horizontal="center" vertical="center"/>
    </xf>
    <xf numFmtId="0" fontId="4" fillId="5" borderId="2" xfId="0" quotePrefix="1" applyFont="1" applyFill="1" applyBorder="1" applyAlignment="1">
      <alignment horizontal="center" vertical="center"/>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4" borderId="18" xfId="0" applyFont="1" applyFill="1" applyBorder="1" applyAlignment="1" applyProtection="1">
      <alignment horizontal="center" vertical="center" wrapText="1"/>
      <protection locked="0"/>
    </xf>
    <xf numFmtId="0" fontId="4" fillId="4" borderId="19" xfId="0" applyFont="1" applyFill="1" applyBorder="1" applyAlignment="1" applyProtection="1">
      <alignment horizontal="center" vertical="center" wrapText="1"/>
      <protection locked="0"/>
    </xf>
    <xf numFmtId="0" fontId="4" fillId="4" borderId="18" xfId="0" applyFont="1" applyFill="1" applyBorder="1" applyAlignment="1" applyProtection="1">
      <alignment horizontal="center" vertical="center"/>
      <protection locked="0"/>
    </xf>
    <xf numFmtId="0" fontId="4" fillId="4" borderId="19" xfId="0" applyFont="1" applyFill="1" applyBorder="1" applyAlignment="1" applyProtection="1">
      <alignment horizontal="center" vertical="center"/>
      <protection locked="0"/>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14" fontId="4" fillId="4" borderId="20" xfId="0" applyNumberFormat="1" applyFont="1" applyFill="1" applyBorder="1" applyAlignment="1" applyProtection="1">
      <alignment horizontal="center" vertical="center"/>
      <protection locked="0"/>
    </xf>
    <xf numFmtId="0" fontId="4" fillId="4" borderId="14" xfId="0" applyFont="1" applyFill="1" applyBorder="1" applyAlignment="1">
      <alignment horizontal="center" vertical="center"/>
    </xf>
    <xf numFmtId="0" fontId="4" fillId="4" borderId="15" xfId="0" applyFont="1" applyFill="1" applyBorder="1" applyAlignment="1">
      <alignment horizontal="center" vertical="center"/>
    </xf>
    <xf numFmtId="0" fontId="4" fillId="4" borderId="18" xfId="0" quotePrefix="1" applyFont="1" applyFill="1" applyBorder="1" applyAlignment="1" applyProtection="1">
      <alignment horizontal="center" vertical="center" wrapText="1"/>
      <protection locked="0"/>
    </xf>
    <xf numFmtId="0" fontId="4" fillId="4" borderId="19" xfId="0" quotePrefix="1" applyFont="1" applyFill="1" applyBorder="1" applyAlignment="1" applyProtection="1">
      <alignment horizontal="center" vertical="center" wrapText="1"/>
      <protection locked="0"/>
    </xf>
    <xf numFmtId="10" fontId="4" fillId="0" borderId="18" xfId="0" applyNumberFormat="1" applyFont="1" applyBorder="1" applyAlignment="1">
      <alignment horizontal="center" vertical="center"/>
    </xf>
    <xf numFmtId="10" fontId="4" fillId="0" borderId="19" xfId="0" applyNumberFormat="1" applyFont="1" applyBorder="1" applyAlignment="1">
      <alignment horizontal="center" vertical="center"/>
    </xf>
    <xf numFmtId="0" fontId="4" fillId="0" borderId="19" xfId="0" applyFont="1" applyBorder="1" applyAlignment="1">
      <alignment horizontal="center" vertical="center"/>
    </xf>
    <xf numFmtId="0" fontId="3" fillId="4" borderId="16" xfId="0" applyFont="1" applyFill="1" applyBorder="1" applyAlignment="1">
      <alignment horizontal="center" vertical="center"/>
    </xf>
    <xf numFmtId="0" fontId="3" fillId="4" borderId="17" xfId="0" applyFont="1" applyFill="1" applyBorder="1" applyAlignment="1">
      <alignment horizontal="center" vertical="center"/>
    </xf>
    <xf numFmtId="0" fontId="12" fillId="4" borderId="16" xfId="0" applyFont="1" applyFill="1" applyBorder="1" applyAlignment="1">
      <alignment horizontal="center" vertical="center"/>
    </xf>
    <xf numFmtId="0" fontId="12" fillId="4" borderId="17" xfId="0" applyFont="1" applyFill="1" applyBorder="1" applyAlignment="1">
      <alignment horizontal="center" vertical="center"/>
    </xf>
    <xf numFmtId="0" fontId="4" fillId="4" borderId="28" xfId="0" applyFont="1" applyFill="1" applyBorder="1" applyAlignment="1">
      <alignment horizontal="center" vertical="center"/>
    </xf>
    <xf numFmtId="10" fontId="12" fillId="4" borderId="16" xfId="0" applyNumberFormat="1" applyFont="1" applyFill="1" applyBorder="1" applyAlignment="1">
      <alignment horizontal="center" vertical="center"/>
    </xf>
    <xf numFmtId="0" fontId="1" fillId="0" borderId="14" xfId="0" applyFont="1" applyBorder="1" applyAlignment="1" applyProtection="1">
      <alignment horizontal="center" vertical="center"/>
      <protection locked="0"/>
    </xf>
    <xf numFmtId="0" fontId="1" fillId="0" borderId="15" xfId="0"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0" borderId="15" xfId="0" applyFont="1" applyBorder="1" applyAlignment="1" applyProtection="1">
      <alignment horizontal="center" vertical="center"/>
      <protection locked="0"/>
    </xf>
    <xf numFmtId="0" fontId="1" fillId="0" borderId="18" xfId="0" quotePrefix="1" applyFont="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10" fontId="4" fillId="0" borderId="18" xfId="0" applyNumberFormat="1"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14" fontId="4" fillId="0" borderId="31" xfId="0" applyNumberFormat="1"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4" fillId="4" borderId="18" xfId="0" applyFont="1" applyFill="1" applyBorder="1" applyAlignment="1">
      <alignment horizontal="center" vertical="center"/>
    </xf>
    <xf numFmtId="0" fontId="4" fillId="4" borderId="19" xfId="0" applyFont="1" applyFill="1" applyBorder="1" applyAlignment="1">
      <alignment horizontal="center" vertical="center"/>
    </xf>
    <xf numFmtId="14" fontId="4" fillId="0" borderId="29" xfId="0" applyNumberFormat="1" applyFont="1" applyBorder="1" applyAlignment="1" applyProtection="1">
      <alignment horizontal="center" vertical="center"/>
      <protection locked="0"/>
    </xf>
    <xf numFmtId="14" fontId="4" fillId="0" borderId="30" xfId="0" applyNumberFormat="1" applyFont="1" applyBorder="1" applyAlignment="1" applyProtection="1">
      <alignment horizontal="center" vertical="center"/>
      <protection locked="0"/>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4" fillId="0" borderId="14" xfId="0" quotePrefix="1" applyFont="1" applyBorder="1" applyAlignment="1">
      <alignment horizontal="center" vertical="center"/>
    </xf>
    <xf numFmtId="0" fontId="4" fillId="0" borderId="15" xfId="0" applyFont="1" applyBorder="1" applyAlignment="1">
      <alignment horizontal="center" vertical="center"/>
    </xf>
    <xf numFmtId="0" fontId="4" fillId="0" borderId="18" xfId="0" applyFont="1" applyFill="1" applyBorder="1" applyAlignment="1">
      <alignment horizontal="center" vertical="center"/>
    </xf>
    <xf numFmtId="0" fontId="4" fillId="0" borderId="19" xfId="0" applyFont="1" applyFill="1" applyBorder="1" applyAlignment="1">
      <alignment horizontal="center" vertical="center"/>
    </xf>
    <xf numFmtId="10" fontId="4" fillId="0" borderId="14" xfId="0" applyNumberFormat="1" applyFont="1" applyBorder="1" applyAlignment="1" applyProtection="1">
      <alignment horizontal="center" vertical="center"/>
      <protection locked="0"/>
    </xf>
    <xf numFmtId="10" fontId="4" fillId="0" borderId="15" xfId="0" applyNumberFormat="1" applyFont="1" applyBorder="1" applyAlignment="1" applyProtection="1">
      <alignment horizontal="center" vertical="center"/>
      <protection locked="0"/>
    </xf>
    <xf numFmtId="14" fontId="4" fillId="4" borderId="29" xfId="0" applyNumberFormat="1" applyFont="1" applyFill="1" applyBorder="1" applyAlignment="1" applyProtection="1">
      <alignment horizontal="center" vertical="center"/>
      <protection locked="0"/>
    </xf>
    <xf numFmtId="14" fontId="4" fillId="4" borderId="30" xfId="0" applyNumberFormat="1" applyFont="1" applyFill="1" applyBorder="1" applyAlignment="1" applyProtection="1">
      <alignment horizontal="center" vertical="center"/>
      <protection locked="0"/>
    </xf>
    <xf numFmtId="14" fontId="4" fillId="4" borderId="20" xfId="0" applyNumberFormat="1" applyFont="1" applyFill="1" applyBorder="1" applyAlignment="1">
      <alignment horizontal="center" vertical="center"/>
    </xf>
    <xf numFmtId="0" fontId="5" fillId="2" borderId="18" xfId="0" applyFont="1" applyFill="1" applyBorder="1" applyAlignment="1">
      <alignment horizontal="center" vertical="center"/>
    </xf>
    <xf numFmtId="0" fontId="5" fillId="2" borderId="19" xfId="0" applyFont="1" applyFill="1" applyBorder="1" applyAlignment="1">
      <alignment horizontal="center" vertical="center"/>
    </xf>
    <xf numFmtId="0" fontId="1" fillId="0" borderId="14" xfId="0" applyFont="1" applyFill="1" applyBorder="1" applyAlignment="1">
      <alignment horizontal="center" vertical="center"/>
    </xf>
    <xf numFmtId="0" fontId="1" fillId="0" borderId="15" xfId="0" applyFont="1" applyFill="1" applyBorder="1" applyAlignment="1">
      <alignment horizontal="center" vertical="center"/>
    </xf>
    <xf numFmtId="10" fontId="4" fillId="4" borderId="18" xfId="0" applyNumberFormat="1" applyFont="1" applyFill="1" applyBorder="1" applyAlignment="1" applyProtection="1">
      <alignment horizontal="center" vertical="center"/>
      <protection locked="0"/>
    </xf>
    <xf numFmtId="10" fontId="4" fillId="4" borderId="19" xfId="0" applyNumberFormat="1" applyFont="1" applyFill="1" applyBorder="1" applyAlignment="1" applyProtection="1">
      <alignment horizontal="center" vertical="center"/>
      <protection locked="0"/>
    </xf>
  </cellXfs>
  <cellStyles count="2">
    <cellStyle name="Collegamento ipertestuale" xfId="1" builtinId="8"/>
    <cellStyle name="Normale" xfId="0" builtinId="0"/>
  </cellStyles>
  <dxfs count="224">
    <dxf>
      <font>
        <color theme="0"/>
      </font>
      <fill>
        <patternFill>
          <bgColor rgb="FFFF0000"/>
        </patternFill>
      </fill>
    </dxf>
    <dxf>
      <font>
        <color theme="0"/>
      </fon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fill>
        <patternFill>
          <bgColor rgb="FFFF0000"/>
        </patternFill>
      </fill>
    </dxf>
    <dxf>
      <font>
        <color theme="0"/>
      </fon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
      <font>
        <color theme="0"/>
      </font>
      <numFmt numFmtId="164" formatCode="&quot;Scade tra&quot;\ 0\ &quot;giorni&quot;"/>
      <fill>
        <patternFill>
          <bgColor rgb="FF00B050"/>
        </patternFill>
      </fill>
    </dxf>
    <dxf>
      <font>
        <color theme="0"/>
      </font>
      <numFmt numFmtId="165" formatCode="&quot;Scaduto da&quot;\ 0\ &quot;giorni&quo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676275</xdr:colOff>
          <xdr:row>0</xdr:row>
          <xdr:rowOff>123825</xdr:rowOff>
        </xdr:from>
        <xdr:to>
          <xdr:col>34</xdr:col>
          <xdr:colOff>657225</xdr:colOff>
          <xdr:row>5</xdr:row>
          <xdr:rowOff>371475</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it-IT" sz="1800" b="1" i="0" u="none" strike="noStrike" baseline="0">
                  <a:solidFill>
                    <a:srgbClr val="000000"/>
                  </a:solidFill>
                  <a:latin typeface="Arial"/>
                  <a:cs typeface="Arial"/>
                </a:rPr>
                <a:t>INVIA EMAIL</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AppData/Roaming/Microsoft/Excel/2024/113-24.pdf" TargetMode="External"/><Relationship Id="rId21" Type="http://schemas.openxmlformats.org/officeDocument/2006/relationships/hyperlink" Target="../../../AppData/Roaming/Microsoft/Excel/2024/152-24.pdf" TargetMode="External"/><Relationship Id="rId42" Type="http://schemas.openxmlformats.org/officeDocument/2006/relationships/hyperlink" Target="../../../AppData/Roaming/Microsoft/Excel/2024/LAT%2042%2000854-24.pdf" TargetMode="External"/><Relationship Id="rId47" Type="http://schemas.openxmlformats.org/officeDocument/2006/relationships/hyperlink" Target="../../../AppData/Roaming/Microsoft/Excel/2024/141-24.pdf" TargetMode="External"/><Relationship Id="rId63" Type="http://schemas.openxmlformats.org/officeDocument/2006/relationships/hyperlink" Target="../../../AppData/Roaming/Microsoft/Excel/2024/138-24.pdf" TargetMode="External"/><Relationship Id="rId68" Type="http://schemas.openxmlformats.org/officeDocument/2006/relationships/hyperlink" Target="../../../AppData/Roaming/Microsoft/Excel/2024/133-24.pdf" TargetMode="External"/><Relationship Id="rId16" Type="http://schemas.openxmlformats.org/officeDocument/2006/relationships/hyperlink" Target="../../../AppData/Roaming/Microsoft/Excel/2023/103-23.pdf" TargetMode="External"/><Relationship Id="rId11" Type="http://schemas.openxmlformats.org/officeDocument/2006/relationships/hyperlink" Target="../../../AppData/Roaming/Microsoft/Excel/2024/136-24.pdf" TargetMode="External"/><Relationship Id="rId24" Type="http://schemas.openxmlformats.org/officeDocument/2006/relationships/hyperlink" Target="../../../AppData/Roaming/Microsoft/Excel/2024/148-24.pdf" TargetMode="External"/><Relationship Id="rId32" Type="http://schemas.openxmlformats.org/officeDocument/2006/relationships/hyperlink" Target="../../../AppData/Roaming/Microsoft/Excel/2024/144-24.pdf" TargetMode="External"/><Relationship Id="rId37" Type="http://schemas.openxmlformats.org/officeDocument/2006/relationships/hyperlink" Target="../../../AppData/Roaming/Microsoft/Excel/2024/157-24.pdf" TargetMode="External"/><Relationship Id="rId40" Type="http://schemas.openxmlformats.org/officeDocument/2006/relationships/hyperlink" Target="../../../AppData/Roaming/Microsoft/Excel/2024/178-24.pdf" TargetMode="External"/><Relationship Id="rId45" Type="http://schemas.openxmlformats.org/officeDocument/2006/relationships/hyperlink" Target="../../../AppData/Roaming/Microsoft/Excel/2024/089-24.pdf" TargetMode="External"/><Relationship Id="rId53" Type="http://schemas.openxmlformats.org/officeDocument/2006/relationships/hyperlink" Target="../../../AppData/Roaming/Microsoft/Excel/2024/120-24.pdf" TargetMode="External"/><Relationship Id="rId58" Type="http://schemas.openxmlformats.org/officeDocument/2006/relationships/hyperlink" Target="..\..\..\AppData\Roaming\Microsoft\Excel\2024\119-24.pdf" TargetMode="External"/><Relationship Id="rId66" Type="http://schemas.openxmlformats.org/officeDocument/2006/relationships/hyperlink" Target="../../../AppData/Roaming/Microsoft/Excel/2024/121-24.pdf" TargetMode="External"/><Relationship Id="rId74" Type="http://schemas.openxmlformats.org/officeDocument/2006/relationships/drawing" Target="../drawings/drawing1.xml"/><Relationship Id="rId5" Type="http://schemas.openxmlformats.org/officeDocument/2006/relationships/hyperlink" Target="../../../AppData/Roaming/Microsoft/Excel/2024/121-24.pdf" TargetMode="External"/><Relationship Id="rId61" Type="http://schemas.openxmlformats.org/officeDocument/2006/relationships/hyperlink" Target="..\..\..\AppData\Roaming\Microsoft\Excel\2024\122-24.pdf" TargetMode="External"/><Relationship Id="rId19" Type="http://schemas.openxmlformats.org/officeDocument/2006/relationships/hyperlink" Target="../../../AppData/Roaming/Microsoft/Excel/2024/151-24.pdf" TargetMode="External"/><Relationship Id="rId14" Type="http://schemas.openxmlformats.org/officeDocument/2006/relationships/hyperlink" Target="../../../AppData/Roaming/Microsoft/Excel/2024/123-24.pdf" TargetMode="External"/><Relationship Id="rId22" Type="http://schemas.openxmlformats.org/officeDocument/2006/relationships/hyperlink" Target="../../../AppData/Roaming/Microsoft/Excel/2024/149-24.pdf" TargetMode="External"/><Relationship Id="rId27" Type="http://schemas.openxmlformats.org/officeDocument/2006/relationships/hyperlink" Target="../../../AppData/Roaming/Microsoft/Excel/2024/132-24.pdf" TargetMode="External"/><Relationship Id="rId30" Type="http://schemas.openxmlformats.org/officeDocument/2006/relationships/hyperlink" Target="../../../AppData/Roaming/Microsoft/Excel/2024/143-24.pdf" TargetMode="External"/><Relationship Id="rId35" Type="http://schemas.openxmlformats.org/officeDocument/2006/relationships/hyperlink" Target="../../../AppData/Roaming/Microsoft/Excel/2024/158-24.pdf" TargetMode="External"/><Relationship Id="rId43" Type="http://schemas.openxmlformats.org/officeDocument/2006/relationships/hyperlink" Target="../../../AppData/Roaming/Microsoft/Excel/2024/LAT%2042%2000854-24.pdf" TargetMode="External"/><Relationship Id="rId48" Type="http://schemas.openxmlformats.org/officeDocument/2006/relationships/hyperlink" Target="../../../AppData/Roaming/Microsoft/Excel/2024/139-24.pdf" TargetMode="External"/><Relationship Id="rId56" Type="http://schemas.openxmlformats.org/officeDocument/2006/relationships/hyperlink" Target="../../../AppData/Roaming/Microsoft/Excel/2024/115-24.pdf" TargetMode="External"/><Relationship Id="rId64" Type="http://schemas.openxmlformats.org/officeDocument/2006/relationships/hyperlink" Target="../../../AppData/Roaming/Microsoft/Excel/2024/136-24.pdf" TargetMode="External"/><Relationship Id="rId69" Type="http://schemas.openxmlformats.org/officeDocument/2006/relationships/hyperlink" Target="../../../AppData/Roaming/Microsoft/Excel/2024/142-24.pdf" TargetMode="External"/><Relationship Id="rId77" Type="http://schemas.openxmlformats.org/officeDocument/2006/relationships/comments" Target="../comments1.xml"/><Relationship Id="rId8" Type="http://schemas.openxmlformats.org/officeDocument/2006/relationships/hyperlink" Target="../../../AppData/Roaming/Microsoft/Excel/2024/090-24.pdf" TargetMode="External"/><Relationship Id="rId51" Type="http://schemas.openxmlformats.org/officeDocument/2006/relationships/hyperlink" Target="..\..\..\AppData\Roaming\Microsoft\Excel\2024\113-24.pdf" TargetMode="External"/><Relationship Id="rId72" Type="http://schemas.openxmlformats.org/officeDocument/2006/relationships/hyperlink" Target="../../../AppData/Roaming/Microsoft/Excel/2024/134-24.pdf" TargetMode="External"/><Relationship Id="rId3" Type="http://schemas.openxmlformats.org/officeDocument/2006/relationships/hyperlink" Target="../../../AppData/Roaming/Microsoft/Excel/2024/117-24.pdf" TargetMode="External"/><Relationship Id="rId12" Type="http://schemas.openxmlformats.org/officeDocument/2006/relationships/hyperlink" Target="../../../AppData/Roaming/Microsoft/Excel/2024/138-24.pdf" TargetMode="External"/><Relationship Id="rId17" Type="http://schemas.openxmlformats.org/officeDocument/2006/relationships/hyperlink" Target="../../../AppData/Roaming/Microsoft/Excel/2023/102-23.pdf" TargetMode="External"/><Relationship Id="rId25" Type="http://schemas.openxmlformats.org/officeDocument/2006/relationships/hyperlink" Target="../../../AppData/Roaming/Microsoft/Excel/2024/114-24.pdf" TargetMode="External"/><Relationship Id="rId33" Type="http://schemas.openxmlformats.org/officeDocument/2006/relationships/hyperlink" Target="../../../AppData/Roaming/Microsoft/Excel/2024/146-24.pdf" TargetMode="External"/><Relationship Id="rId38" Type="http://schemas.openxmlformats.org/officeDocument/2006/relationships/hyperlink" Target="../../../AppData/Roaming/Microsoft/Excel/2024/155-24.pdf" TargetMode="External"/><Relationship Id="rId46" Type="http://schemas.openxmlformats.org/officeDocument/2006/relationships/hyperlink" Target="../../../AppData/Roaming/Microsoft/Excel/2024/090-24.pdf" TargetMode="External"/><Relationship Id="rId59" Type="http://schemas.openxmlformats.org/officeDocument/2006/relationships/hyperlink" Target="../../../AppData/Roaming/Microsoft/Excel/2024/118-24.pdf" TargetMode="External"/><Relationship Id="rId67" Type="http://schemas.openxmlformats.org/officeDocument/2006/relationships/hyperlink" Target="../../../AppData/Roaming/Microsoft/Excel/2024/143-24.pdf" TargetMode="External"/><Relationship Id="rId20" Type="http://schemas.openxmlformats.org/officeDocument/2006/relationships/hyperlink" Target="../../../AppData/Roaming/Microsoft/Excel/2024/150-24.pdf" TargetMode="External"/><Relationship Id="rId41" Type="http://schemas.openxmlformats.org/officeDocument/2006/relationships/hyperlink" Target="../../../AppData/Roaming/Microsoft/Excel/2024/177-24.pdf" TargetMode="External"/><Relationship Id="rId54" Type="http://schemas.openxmlformats.org/officeDocument/2006/relationships/hyperlink" Target="../../../AppData/Roaming/Microsoft/Excel/2024/120-24.pdf" TargetMode="External"/><Relationship Id="rId62" Type="http://schemas.openxmlformats.org/officeDocument/2006/relationships/hyperlink" Target="../../../AppData/Roaming/Microsoft/Excel/2024/123-24.pdf" TargetMode="External"/><Relationship Id="rId70" Type="http://schemas.openxmlformats.org/officeDocument/2006/relationships/hyperlink" Target="../../../AppData/Roaming/Microsoft/Excel/2024/144-24.pdf" TargetMode="External"/><Relationship Id="rId75" Type="http://schemas.openxmlformats.org/officeDocument/2006/relationships/vmlDrawing" Target="../drawings/vmlDrawing1.vml"/><Relationship Id="rId1" Type="http://schemas.openxmlformats.org/officeDocument/2006/relationships/hyperlink" Target="../../../AppData/Roaming/Microsoft/Excel/2024/115-24.pdf" TargetMode="External"/><Relationship Id="rId6" Type="http://schemas.openxmlformats.org/officeDocument/2006/relationships/hyperlink" Target="../../../AppData/Roaming/Microsoft/Excel/2024/120-24.pdf" TargetMode="External"/><Relationship Id="rId15" Type="http://schemas.openxmlformats.org/officeDocument/2006/relationships/hyperlink" Target="../../../AppData/Roaming/Microsoft/Excel/2024/122-24.pdf" TargetMode="External"/><Relationship Id="rId23" Type="http://schemas.openxmlformats.org/officeDocument/2006/relationships/hyperlink" Target="../../../AppData/Roaming/Microsoft/Excel/2024/147-24.pdf" TargetMode="External"/><Relationship Id="rId28" Type="http://schemas.openxmlformats.org/officeDocument/2006/relationships/hyperlink" Target="../../../AppData/Roaming/Microsoft/Excel/2024/133-24.pdf" TargetMode="External"/><Relationship Id="rId36" Type="http://schemas.openxmlformats.org/officeDocument/2006/relationships/hyperlink" Target="../../../AppData/Roaming/Microsoft/Excel/2024/156-24.pdf" TargetMode="External"/><Relationship Id="rId49" Type="http://schemas.openxmlformats.org/officeDocument/2006/relationships/hyperlink" Target="..\..\..\AppData\Roaming\Microsoft\Excel\2024\140-24.pdf" TargetMode="External"/><Relationship Id="rId57" Type="http://schemas.openxmlformats.org/officeDocument/2006/relationships/hyperlink" Target="../../../AppData/Roaming/Microsoft/Excel/2024/117-24.pdf" TargetMode="External"/><Relationship Id="rId10" Type="http://schemas.openxmlformats.org/officeDocument/2006/relationships/hyperlink" Target="../../../AppData/Roaming/Microsoft/Excel/2024/135-24.pdf" TargetMode="External"/><Relationship Id="rId31" Type="http://schemas.openxmlformats.org/officeDocument/2006/relationships/hyperlink" Target="../../../AppData/Roaming/Microsoft/Excel/2024/142-24.pdf" TargetMode="External"/><Relationship Id="rId44" Type="http://schemas.openxmlformats.org/officeDocument/2006/relationships/hyperlink" Target="../../../AppData/Roaming/Microsoft/Excel/2024/088-24.pdf" TargetMode="External"/><Relationship Id="rId52" Type="http://schemas.openxmlformats.org/officeDocument/2006/relationships/hyperlink" Target="../../../AppData/Roaming/Microsoft/Excel/2024/113-24.pdf" TargetMode="External"/><Relationship Id="rId60" Type="http://schemas.openxmlformats.org/officeDocument/2006/relationships/hyperlink" Target="../../../AppData/Roaming/Microsoft/Excel/2024/118-24.pdf" TargetMode="External"/><Relationship Id="rId65" Type="http://schemas.openxmlformats.org/officeDocument/2006/relationships/hyperlink" Target="..\..\..\AppData\Roaming\Microsoft\Excel\2024\120-24.pdf" TargetMode="External"/><Relationship Id="rId73" Type="http://schemas.openxmlformats.org/officeDocument/2006/relationships/printerSettings" Target="../printerSettings/printerSettings1.bin"/><Relationship Id="rId4" Type="http://schemas.openxmlformats.org/officeDocument/2006/relationships/hyperlink" Target="../../../AppData/Roaming/Microsoft/Excel/2024/119-24.pdf" TargetMode="External"/><Relationship Id="rId9" Type="http://schemas.openxmlformats.org/officeDocument/2006/relationships/hyperlink" Target="../../../AppData/Roaming/Microsoft/Excel/2024/088-24.pdf" TargetMode="External"/><Relationship Id="rId13" Type="http://schemas.openxmlformats.org/officeDocument/2006/relationships/hyperlink" Target="../../../AppData/Roaming/Microsoft/Excel/2024/137-24.pdf" TargetMode="External"/><Relationship Id="rId18" Type="http://schemas.openxmlformats.org/officeDocument/2006/relationships/hyperlink" Target="../../../AppData/Roaming/Microsoft/Excel/2024/153-24.pdf" TargetMode="External"/><Relationship Id="rId39" Type="http://schemas.openxmlformats.org/officeDocument/2006/relationships/hyperlink" Target="../../../AppData/Roaming/Microsoft/Excel/2024/112-24.pdf" TargetMode="External"/><Relationship Id="rId34" Type="http://schemas.openxmlformats.org/officeDocument/2006/relationships/hyperlink" Target="../../../AppData/Roaming/Microsoft/Excel/2024/154-24.pdf" TargetMode="External"/><Relationship Id="rId50" Type="http://schemas.openxmlformats.org/officeDocument/2006/relationships/hyperlink" Target="../../../AppData/Roaming/Microsoft/Excel/2024/113-24.pdf" TargetMode="External"/><Relationship Id="rId55" Type="http://schemas.openxmlformats.org/officeDocument/2006/relationships/hyperlink" Target="..\..\..\AppData\Roaming\Microsoft\Excel\2024\115-24.pdf" TargetMode="External"/><Relationship Id="rId76" Type="http://schemas.openxmlformats.org/officeDocument/2006/relationships/ctrlProp" Target="../ctrlProps/ctrlProp1.xml"/><Relationship Id="rId7" Type="http://schemas.openxmlformats.org/officeDocument/2006/relationships/hyperlink" Target="../../../AppData/Roaming/Microsoft/Excel/2024/089-24.pdf" TargetMode="External"/><Relationship Id="rId71" Type="http://schemas.openxmlformats.org/officeDocument/2006/relationships/hyperlink" Target="../../../AppData/Roaming/Microsoft/Excel/2024/132-24.pdf" TargetMode="External"/><Relationship Id="rId2" Type="http://schemas.openxmlformats.org/officeDocument/2006/relationships/hyperlink" Target="../../../AppData/Roaming/Microsoft/Excel/2024/116-24.pdf" TargetMode="External"/><Relationship Id="rId29" Type="http://schemas.openxmlformats.org/officeDocument/2006/relationships/hyperlink" Target="../../../AppData/Roaming/Microsoft/Excel/2024/134-24.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4" tint="-0.499984740745262"/>
    <pageSetUpPr fitToPage="1"/>
  </sheetPr>
  <dimension ref="A1:AD191"/>
  <sheetViews>
    <sheetView tabSelected="1" topLeftCell="G1" zoomScale="85" zoomScaleNormal="85" workbookViewId="0">
      <selection activeCell="Z12" sqref="Z12"/>
    </sheetView>
  </sheetViews>
  <sheetFormatPr defaultColWidth="10.140625" defaultRowHeight="12.75" x14ac:dyDescent="0.2"/>
  <cols>
    <col min="1" max="1" width="10.140625" hidden="1" customWidth="1"/>
    <col min="2" max="2" width="4.5703125" hidden="1" customWidth="1"/>
    <col min="3" max="3" width="16.85546875" hidden="1" customWidth="1"/>
    <col min="4" max="4" width="12.140625" hidden="1" customWidth="1"/>
    <col min="5" max="5" width="16.42578125" style="3" hidden="1" customWidth="1"/>
    <col min="6" max="6" width="14.28515625" style="3" hidden="1" customWidth="1"/>
    <col min="7" max="8" width="13.5703125" customWidth="1"/>
    <col min="9" max="11" width="10.140625" customWidth="1"/>
    <col min="12" max="12" width="14.5703125" customWidth="1"/>
    <col min="13" max="16" width="10.140625" customWidth="1"/>
    <col min="17" max="18" width="11.85546875" customWidth="1"/>
    <col min="19" max="20" width="10.140625" customWidth="1"/>
    <col min="21" max="21" width="20.140625" bestFit="1" customWidth="1"/>
    <col min="22" max="22" width="23.5703125" bestFit="1" customWidth="1"/>
    <col min="23" max="23" width="27.28515625" bestFit="1" customWidth="1"/>
    <col min="24" max="24" width="37.7109375" style="14" hidden="1" customWidth="1"/>
    <col min="25" max="25" width="28.140625" bestFit="1" customWidth="1"/>
    <col min="26" max="26" width="23.85546875" style="14" bestFit="1" customWidth="1"/>
    <col min="27" max="27" width="10.7109375" style="14" hidden="1" customWidth="1"/>
    <col min="28" max="29" width="10.7109375" hidden="1" customWidth="1"/>
    <col min="30" max="30" width="11.7109375" hidden="1" customWidth="1"/>
  </cols>
  <sheetData>
    <row r="1" spans="1:30" x14ac:dyDescent="0.2">
      <c r="G1" s="102">
        <f ca="1">TODAY()</f>
        <v>46015</v>
      </c>
      <c r="H1" s="102"/>
      <c r="I1" s="102"/>
      <c r="J1" s="102"/>
      <c r="K1" s="102"/>
      <c r="L1" s="102"/>
      <c r="M1" s="102"/>
      <c r="N1" s="102"/>
      <c r="O1" s="102"/>
      <c r="P1" s="102"/>
      <c r="Q1" s="102"/>
      <c r="R1" s="102"/>
      <c r="S1" s="102"/>
      <c r="T1" s="102"/>
      <c r="U1" s="103"/>
      <c r="V1" s="102"/>
      <c r="W1" s="102"/>
      <c r="X1" s="63" t="s">
        <v>130</v>
      </c>
      <c r="Y1" s="64"/>
      <c r="Z1" s="99">
        <v>45986</v>
      </c>
    </row>
    <row r="2" spans="1:30" ht="13.5" thickBot="1" x14ac:dyDescent="0.25">
      <c r="G2" s="104"/>
      <c r="H2" s="104"/>
      <c r="I2" s="104"/>
      <c r="J2" s="104"/>
      <c r="K2" s="104"/>
      <c r="L2" s="104"/>
      <c r="M2" s="104"/>
      <c r="N2" s="104"/>
      <c r="O2" s="104"/>
      <c r="P2" s="104"/>
      <c r="Q2" s="104"/>
      <c r="R2" s="104"/>
      <c r="S2" s="104"/>
      <c r="T2" s="104"/>
      <c r="U2" s="105"/>
      <c r="V2" s="104"/>
      <c r="W2" s="104"/>
      <c r="X2" s="63"/>
      <c r="Y2" s="64"/>
      <c r="Z2" s="100"/>
    </row>
    <row r="3" spans="1:30" x14ac:dyDescent="0.2">
      <c r="G3" s="90" t="s">
        <v>109</v>
      </c>
      <c r="H3" s="90"/>
      <c r="I3" s="90"/>
      <c r="J3" s="90"/>
      <c r="K3" s="90"/>
      <c r="L3" s="90"/>
      <c r="M3" s="90"/>
      <c r="N3" s="90"/>
      <c r="O3" s="90"/>
      <c r="P3" s="90"/>
      <c r="Q3" s="90"/>
      <c r="R3" s="90"/>
      <c r="S3" s="90"/>
      <c r="T3" s="90"/>
      <c r="U3" s="90"/>
      <c r="V3" s="90"/>
      <c r="W3" s="91"/>
      <c r="X3" s="63"/>
      <c r="Y3" s="64"/>
      <c r="Z3" s="100"/>
    </row>
    <row r="4" spans="1:30" x14ac:dyDescent="0.2">
      <c r="G4" s="92"/>
      <c r="H4" s="92"/>
      <c r="I4" s="92"/>
      <c r="J4" s="92"/>
      <c r="K4" s="92"/>
      <c r="L4" s="92"/>
      <c r="M4" s="92"/>
      <c r="N4" s="92"/>
      <c r="O4" s="92"/>
      <c r="P4" s="92"/>
      <c r="Q4" s="92"/>
      <c r="R4" s="92"/>
      <c r="S4" s="92"/>
      <c r="T4" s="92"/>
      <c r="U4" s="92"/>
      <c r="V4" s="92"/>
      <c r="W4" s="93"/>
      <c r="X4" s="65"/>
      <c r="Y4" s="66"/>
      <c r="Z4" s="101"/>
    </row>
    <row r="5" spans="1:30" ht="13.5" thickBot="1" x14ac:dyDescent="0.25">
      <c r="E5"/>
      <c r="F5"/>
      <c r="G5" s="96"/>
      <c r="H5" s="96"/>
      <c r="I5" s="96"/>
      <c r="J5" s="96"/>
      <c r="K5" s="96"/>
      <c r="L5" s="96"/>
      <c r="M5" s="96"/>
      <c r="N5" s="96"/>
      <c r="O5" s="96"/>
      <c r="P5" s="96"/>
      <c r="Q5" s="96"/>
      <c r="R5" s="96"/>
      <c r="S5" s="96"/>
      <c r="T5" s="96"/>
      <c r="U5" s="96"/>
      <c r="V5" s="96"/>
      <c r="W5" s="96"/>
      <c r="X5" s="96"/>
      <c r="Y5" s="96"/>
    </row>
    <row r="6" spans="1:30" ht="30" x14ac:dyDescent="0.2">
      <c r="A6" s="67" t="s">
        <v>127</v>
      </c>
      <c r="B6" s="68"/>
      <c r="C6" s="67" t="s">
        <v>125</v>
      </c>
      <c r="D6" s="68"/>
      <c r="E6" s="67" t="s">
        <v>124</v>
      </c>
      <c r="F6" s="68"/>
      <c r="G6" s="69" t="s">
        <v>0</v>
      </c>
      <c r="H6" s="70"/>
      <c r="I6" s="71" t="s">
        <v>1</v>
      </c>
      <c r="J6" s="70"/>
      <c r="K6" s="71" t="s">
        <v>2</v>
      </c>
      <c r="L6" s="70"/>
      <c r="M6" s="71" t="s">
        <v>4</v>
      </c>
      <c r="N6" s="70"/>
      <c r="O6" s="71" t="s">
        <v>5</v>
      </c>
      <c r="P6" s="70"/>
      <c r="Q6" s="71" t="s">
        <v>3</v>
      </c>
      <c r="R6" s="70"/>
      <c r="S6" s="94" t="s">
        <v>6</v>
      </c>
      <c r="T6" s="95"/>
      <c r="U6" s="19" t="s">
        <v>128</v>
      </c>
      <c r="V6" s="19" t="s">
        <v>131</v>
      </c>
      <c r="W6" s="19" t="s">
        <v>105</v>
      </c>
      <c r="X6" s="21" t="s">
        <v>248</v>
      </c>
      <c r="Y6" s="4" t="s">
        <v>129</v>
      </c>
      <c r="Z6" s="20" t="s">
        <v>220</v>
      </c>
      <c r="AB6" s="2"/>
    </row>
    <row r="7" spans="1:30" ht="18" x14ac:dyDescent="0.2">
      <c r="A7" s="27" t="s">
        <v>188</v>
      </c>
      <c r="B7" s="31"/>
      <c r="C7" s="27"/>
      <c r="D7" s="31"/>
      <c r="E7" s="27"/>
      <c r="F7" s="31"/>
      <c r="G7" s="27" t="s">
        <v>41</v>
      </c>
      <c r="H7" s="28"/>
      <c r="I7" s="76" t="s">
        <v>7</v>
      </c>
      <c r="J7" s="77"/>
      <c r="K7" s="74" t="s">
        <v>8</v>
      </c>
      <c r="L7" s="75"/>
      <c r="M7" s="78" t="s">
        <v>9</v>
      </c>
      <c r="N7" s="79"/>
      <c r="O7" s="33">
        <v>5.0000000000000001E-4</v>
      </c>
      <c r="P7" s="34"/>
      <c r="Q7" s="29" t="s">
        <v>181</v>
      </c>
      <c r="R7" s="30"/>
      <c r="S7" s="37">
        <v>45030</v>
      </c>
      <c r="T7" s="38"/>
      <c r="U7" s="9">
        <f t="shared" ref="U7:U46" si="0">DATE(AD7-1,AC7,AB7)</f>
        <v>44665</v>
      </c>
      <c r="V7" s="22" t="s">
        <v>256</v>
      </c>
      <c r="W7" s="1">
        <f t="shared" ref="W7:W36" ca="1" si="1">S7-$G$1</f>
        <v>-985</v>
      </c>
      <c r="X7" s="16" t="str">
        <f t="shared" ref="X7:X38" ca="1" si="2">IF(AND(AA7&gt;-1000,AA7&lt;60,Z7="NO"),"SI","NO")</f>
        <v>NO</v>
      </c>
      <c r="Y7" s="12" t="str">
        <f t="shared" ref="Y7:Y46" si="3">IF(AND($Z$1&gt;=U7,$Z$1&lt;=S7),"OK","NO")</f>
        <v>NO</v>
      </c>
      <c r="Z7" s="14" t="s">
        <v>126</v>
      </c>
      <c r="AA7" s="15">
        <f t="shared" ref="AA7:AA38" ca="1" si="4">S7-$G$1</f>
        <v>-985</v>
      </c>
      <c r="AB7" s="7">
        <f t="shared" ref="AB7:AB46" si="5">DAY(S7)</f>
        <v>14</v>
      </c>
      <c r="AC7">
        <f t="shared" ref="AC7:AC46" si="6">MONTH(S7)</f>
        <v>4</v>
      </c>
      <c r="AD7">
        <f t="shared" ref="AD7:AD46" si="7">YEAR(S7)</f>
        <v>2023</v>
      </c>
    </row>
    <row r="8" spans="1:30" ht="18" x14ac:dyDescent="0.2">
      <c r="A8" s="27" t="s">
        <v>188</v>
      </c>
      <c r="B8" s="31"/>
      <c r="C8" s="27"/>
      <c r="D8" s="31"/>
      <c r="E8" s="27"/>
      <c r="F8" s="31"/>
      <c r="G8" s="27" t="s">
        <v>41</v>
      </c>
      <c r="H8" s="28"/>
      <c r="I8" s="76" t="s">
        <v>7</v>
      </c>
      <c r="J8" s="77"/>
      <c r="K8" s="74" t="s">
        <v>8</v>
      </c>
      <c r="L8" s="75"/>
      <c r="M8" s="78" t="s">
        <v>9</v>
      </c>
      <c r="N8" s="79"/>
      <c r="O8" s="33">
        <v>5.0000000000000001E-4</v>
      </c>
      <c r="P8" s="34"/>
      <c r="Q8" s="29" t="s">
        <v>180</v>
      </c>
      <c r="R8" s="30"/>
      <c r="S8" s="37">
        <v>45399</v>
      </c>
      <c r="T8" s="38"/>
      <c r="U8" s="9">
        <f t="shared" si="0"/>
        <v>45033</v>
      </c>
      <c r="V8" s="22" t="s">
        <v>256</v>
      </c>
      <c r="W8" s="1">
        <f t="shared" ca="1" si="1"/>
        <v>-616</v>
      </c>
      <c r="X8" s="16" t="str">
        <f t="shared" ca="1" si="2"/>
        <v>NO</v>
      </c>
      <c r="Y8" s="12" t="str">
        <f>IF(AND($Z$1&gt;=U8,$Z$1&lt;=S8),"OK","NO")</f>
        <v>NO</v>
      </c>
      <c r="Z8" s="14" t="s">
        <v>126</v>
      </c>
      <c r="AA8" s="15">
        <f t="shared" ca="1" si="4"/>
        <v>-616</v>
      </c>
      <c r="AB8" s="7">
        <f t="shared" si="5"/>
        <v>17</v>
      </c>
      <c r="AC8">
        <f t="shared" si="6"/>
        <v>4</v>
      </c>
      <c r="AD8">
        <f t="shared" si="7"/>
        <v>2024</v>
      </c>
    </row>
    <row r="9" spans="1:30" ht="18" x14ac:dyDescent="0.2">
      <c r="A9" s="27" t="s">
        <v>126</v>
      </c>
      <c r="B9" s="31"/>
      <c r="C9" s="27"/>
      <c r="D9" s="31"/>
      <c r="E9" s="27"/>
      <c r="F9" s="31"/>
      <c r="G9" s="27" t="s">
        <v>41</v>
      </c>
      <c r="H9" s="28"/>
      <c r="I9" s="76" t="s">
        <v>7</v>
      </c>
      <c r="J9" s="77"/>
      <c r="K9" s="74" t="s">
        <v>8</v>
      </c>
      <c r="L9" s="75"/>
      <c r="M9" s="78" t="s">
        <v>9</v>
      </c>
      <c r="N9" s="79"/>
      <c r="O9" s="33">
        <v>5.0000000000000001E-4</v>
      </c>
      <c r="P9" s="34"/>
      <c r="Q9" s="35" t="s">
        <v>112</v>
      </c>
      <c r="R9" s="36"/>
      <c r="S9" s="37">
        <v>45780</v>
      </c>
      <c r="T9" s="38"/>
      <c r="U9" s="9">
        <f t="shared" si="0"/>
        <v>45415</v>
      </c>
      <c r="V9" s="22" t="s">
        <v>256</v>
      </c>
      <c r="W9" s="1">
        <f t="shared" ca="1" si="1"/>
        <v>-235</v>
      </c>
      <c r="X9" s="16" t="str">
        <f t="shared" ca="1" si="2"/>
        <v>NO</v>
      </c>
      <c r="Y9" s="12" t="str">
        <f t="shared" si="3"/>
        <v>NO</v>
      </c>
      <c r="Z9" s="13" t="s">
        <v>126</v>
      </c>
      <c r="AA9" s="15">
        <f t="shared" ca="1" si="4"/>
        <v>-235</v>
      </c>
      <c r="AB9" s="7">
        <f t="shared" si="5"/>
        <v>3</v>
      </c>
      <c r="AC9">
        <f t="shared" si="6"/>
        <v>5</v>
      </c>
      <c r="AD9">
        <f t="shared" si="7"/>
        <v>2025</v>
      </c>
    </row>
    <row r="10" spans="1:30" ht="18" x14ac:dyDescent="0.2">
      <c r="A10" s="27" t="s">
        <v>126</v>
      </c>
      <c r="B10" s="31"/>
      <c r="C10" s="27"/>
      <c r="D10" s="31"/>
      <c r="E10" s="27"/>
      <c r="F10" s="31"/>
      <c r="G10" s="27" t="s">
        <v>41</v>
      </c>
      <c r="H10" s="28"/>
      <c r="I10" s="76" t="s">
        <v>7</v>
      </c>
      <c r="J10" s="77"/>
      <c r="K10" s="74" t="s">
        <v>8</v>
      </c>
      <c r="L10" s="75"/>
      <c r="M10" s="78" t="s">
        <v>9</v>
      </c>
      <c r="N10" s="79"/>
      <c r="O10" s="33">
        <v>5.0000000000000001E-4</v>
      </c>
      <c r="P10" s="34"/>
      <c r="Q10" s="35" t="s">
        <v>280</v>
      </c>
      <c r="R10" s="36"/>
      <c r="S10" s="37">
        <v>46148</v>
      </c>
      <c r="T10" s="38"/>
      <c r="U10" s="9">
        <f>DATE(AD10-1,AC10,AB10)</f>
        <v>45783</v>
      </c>
      <c r="V10" s="22" t="s">
        <v>256</v>
      </c>
      <c r="W10" s="1">
        <f t="shared" ca="1" si="1"/>
        <v>133</v>
      </c>
      <c r="X10" s="16" t="str">
        <f t="shared" ca="1" si="2"/>
        <v>NO</v>
      </c>
      <c r="Y10" s="12" t="str">
        <f>IF(AND($Z$1&gt;=U10,$Z$1&lt;=S10),"OK","NO")</f>
        <v>OK</v>
      </c>
      <c r="Z10" s="13" t="s">
        <v>188</v>
      </c>
      <c r="AA10" s="15">
        <f t="shared" ca="1" si="4"/>
        <v>133</v>
      </c>
      <c r="AB10" s="7">
        <f>DAY(S10)</f>
        <v>6</v>
      </c>
      <c r="AC10">
        <f>MONTH(S10)</f>
        <v>5</v>
      </c>
      <c r="AD10">
        <f>YEAR(S10)</f>
        <v>2026</v>
      </c>
    </row>
    <row r="11" spans="1:30" ht="18" x14ac:dyDescent="0.2">
      <c r="A11" s="27" t="s">
        <v>188</v>
      </c>
      <c r="B11" s="31"/>
      <c r="C11" s="27"/>
      <c r="D11" s="31"/>
      <c r="E11" s="27"/>
      <c r="F11" s="31"/>
      <c r="G11" s="27" t="s">
        <v>41</v>
      </c>
      <c r="H11" s="28"/>
      <c r="I11" s="72" t="s">
        <v>7</v>
      </c>
      <c r="J11" s="73"/>
      <c r="K11" s="29" t="s">
        <v>10</v>
      </c>
      <c r="L11" s="30"/>
      <c r="M11" s="32" t="s">
        <v>9</v>
      </c>
      <c r="N11" s="57"/>
      <c r="O11" s="33">
        <v>5.0000000000000001E-4</v>
      </c>
      <c r="P11" s="34"/>
      <c r="Q11" s="29" t="s">
        <v>158</v>
      </c>
      <c r="R11" s="30"/>
      <c r="S11" s="37">
        <v>45030</v>
      </c>
      <c r="T11" s="38"/>
      <c r="U11" s="9">
        <f t="shared" si="0"/>
        <v>44665</v>
      </c>
      <c r="V11" s="22" t="s">
        <v>257</v>
      </c>
      <c r="W11" s="1">
        <f t="shared" ca="1" si="1"/>
        <v>-985</v>
      </c>
      <c r="X11" s="16" t="str">
        <f t="shared" ca="1" si="2"/>
        <v>NO</v>
      </c>
      <c r="Y11" s="12" t="str">
        <f t="shared" si="3"/>
        <v>NO</v>
      </c>
      <c r="Z11" s="14" t="s">
        <v>126</v>
      </c>
      <c r="AA11" s="15">
        <f t="shared" ca="1" si="4"/>
        <v>-985</v>
      </c>
      <c r="AB11" s="7">
        <f t="shared" si="5"/>
        <v>14</v>
      </c>
      <c r="AC11">
        <f t="shared" si="6"/>
        <v>4</v>
      </c>
      <c r="AD11">
        <f t="shared" si="7"/>
        <v>2023</v>
      </c>
    </row>
    <row r="12" spans="1:30" ht="18" x14ac:dyDescent="0.2">
      <c r="A12" s="27" t="s">
        <v>188</v>
      </c>
      <c r="B12" s="31"/>
      <c r="C12" s="27"/>
      <c r="D12" s="31"/>
      <c r="E12" s="27"/>
      <c r="F12" s="31"/>
      <c r="G12" s="27" t="s">
        <v>41</v>
      </c>
      <c r="H12" s="28"/>
      <c r="I12" s="72" t="s">
        <v>7</v>
      </c>
      <c r="J12" s="73"/>
      <c r="K12" s="29" t="s">
        <v>10</v>
      </c>
      <c r="L12" s="30"/>
      <c r="M12" s="32" t="s">
        <v>9</v>
      </c>
      <c r="N12" s="57"/>
      <c r="O12" s="33">
        <v>5.0000000000000001E-4</v>
      </c>
      <c r="P12" s="34"/>
      <c r="Q12" s="29" t="s">
        <v>157</v>
      </c>
      <c r="R12" s="30"/>
      <c r="S12" s="37">
        <v>45399</v>
      </c>
      <c r="T12" s="38"/>
      <c r="U12" s="9">
        <f t="shared" si="0"/>
        <v>45033</v>
      </c>
      <c r="V12" s="22" t="s">
        <v>257</v>
      </c>
      <c r="W12" s="1">
        <f t="shared" ca="1" si="1"/>
        <v>-616</v>
      </c>
      <c r="X12" s="16" t="str">
        <f t="shared" ca="1" si="2"/>
        <v>NO</v>
      </c>
      <c r="Y12" s="12" t="str">
        <f t="shared" si="3"/>
        <v>NO</v>
      </c>
      <c r="Z12" s="13" t="s">
        <v>126</v>
      </c>
      <c r="AA12" s="15">
        <f t="shared" ca="1" si="4"/>
        <v>-616</v>
      </c>
      <c r="AB12" s="7">
        <f t="shared" si="5"/>
        <v>17</v>
      </c>
      <c r="AC12">
        <f t="shared" si="6"/>
        <v>4</v>
      </c>
      <c r="AD12">
        <f t="shared" si="7"/>
        <v>2024</v>
      </c>
    </row>
    <row r="13" spans="1:30" ht="18" x14ac:dyDescent="0.2">
      <c r="A13" s="27" t="s">
        <v>126</v>
      </c>
      <c r="B13" s="31"/>
      <c r="C13" s="27"/>
      <c r="D13" s="31"/>
      <c r="E13" s="27"/>
      <c r="F13" s="31"/>
      <c r="G13" s="27" t="s">
        <v>41</v>
      </c>
      <c r="H13" s="28"/>
      <c r="I13" s="72" t="s">
        <v>7</v>
      </c>
      <c r="J13" s="73"/>
      <c r="K13" s="29" t="s">
        <v>10</v>
      </c>
      <c r="L13" s="30"/>
      <c r="M13" s="32" t="s">
        <v>9</v>
      </c>
      <c r="N13" s="57"/>
      <c r="O13" s="33">
        <v>5.0000000000000001E-4</v>
      </c>
      <c r="P13" s="34"/>
      <c r="Q13" s="35" t="s">
        <v>120</v>
      </c>
      <c r="R13" s="36"/>
      <c r="S13" s="37">
        <v>45780</v>
      </c>
      <c r="T13" s="38"/>
      <c r="U13" s="9">
        <f t="shared" si="0"/>
        <v>45415</v>
      </c>
      <c r="V13" s="22" t="s">
        <v>257</v>
      </c>
      <c r="W13" s="1">
        <f t="shared" ca="1" si="1"/>
        <v>-235</v>
      </c>
      <c r="X13" s="16" t="str">
        <f t="shared" ca="1" si="2"/>
        <v>NO</v>
      </c>
      <c r="Y13" s="12" t="str">
        <f t="shared" si="3"/>
        <v>NO</v>
      </c>
      <c r="Z13" s="13" t="s">
        <v>126</v>
      </c>
      <c r="AA13" s="15">
        <f t="shared" ca="1" si="4"/>
        <v>-235</v>
      </c>
      <c r="AB13" s="7">
        <f t="shared" si="5"/>
        <v>3</v>
      </c>
      <c r="AC13">
        <f t="shared" si="6"/>
        <v>5</v>
      </c>
      <c r="AD13">
        <f t="shared" si="7"/>
        <v>2025</v>
      </c>
    </row>
    <row r="14" spans="1:30" ht="18" x14ac:dyDescent="0.2">
      <c r="A14" s="27" t="s">
        <v>126</v>
      </c>
      <c r="B14" s="31"/>
      <c r="C14" s="27"/>
      <c r="D14" s="31"/>
      <c r="E14" s="27"/>
      <c r="F14" s="31"/>
      <c r="G14" s="27" t="s">
        <v>41</v>
      </c>
      <c r="H14" s="28"/>
      <c r="I14" s="72" t="s">
        <v>7</v>
      </c>
      <c r="J14" s="73"/>
      <c r="K14" s="29" t="s">
        <v>10</v>
      </c>
      <c r="L14" s="30"/>
      <c r="M14" s="32" t="s">
        <v>9</v>
      </c>
      <c r="N14" s="57"/>
      <c r="O14" s="33">
        <v>5.0000000000000001E-4</v>
      </c>
      <c r="P14" s="34"/>
      <c r="Q14" s="35" t="s">
        <v>281</v>
      </c>
      <c r="R14" s="36"/>
      <c r="S14" s="37">
        <v>46148</v>
      </c>
      <c r="T14" s="38"/>
      <c r="U14" s="9">
        <f>DATE(AD14-1,AC14,AB14)</f>
        <v>45783</v>
      </c>
      <c r="V14" s="22" t="s">
        <v>257</v>
      </c>
      <c r="W14" s="1">
        <f t="shared" ca="1" si="1"/>
        <v>133</v>
      </c>
      <c r="X14" s="16" t="str">
        <f t="shared" ca="1" si="2"/>
        <v>NO</v>
      </c>
      <c r="Y14" s="12" t="str">
        <f>IF(AND($Z$1&gt;=U14,$Z$1&lt;=S14),"OK","NO")</f>
        <v>OK</v>
      </c>
      <c r="Z14" s="13" t="s">
        <v>188</v>
      </c>
      <c r="AA14" s="15">
        <f t="shared" ca="1" si="4"/>
        <v>133</v>
      </c>
      <c r="AB14" s="7">
        <f>DAY(S14)</f>
        <v>6</v>
      </c>
      <c r="AC14">
        <f>MONTH(S14)</f>
        <v>5</v>
      </c>
      <c r="AD14">
        <f>YEAR(S14)</f>
        <v>2026</v>
      </c>
    </row>
    <row r="15" spans="1:30" ht="18" x14ac:dyDescent="0.2">
      <c r="A15" s="27" t="s">
        <v>188</v>
      </c>
      <c r="B15" s="31"/>
      <c r="C15" s="27"/>
      <c r="D15" s="31"/>
      <c r="E15" s="27"/>
      <c r="F15" s="31"/>
      <c r="G15" s="27" t="s">
        <v>41</v>
      </c>
      <c r="H15" s="28"/>
      <c r="I15" s="29" t="s">
        <v>7</v>
      </c>
      <c r="J15" s="30"/>
      <c r="K15" s="29" t="s">
        <v>11</v>
      </c>
      <c r="L15" s="30"/>
      <c r="M15" s="32" t="s">
        <v>9</v>
      </c>
      <c r="N15" s="57"/>
      <c r="O15" s="33">
        <v>5.0000000000000001E-4</v>
      </c>
      <c r="P15" s="34"/>
      <c r="Q15" s="29" t="s">
        <v>160</v>
      </c>
      <c r="R15" s="30"/>
      <c r="S15" s="37">
        <v>45030</v>
      </c>
      <c r="T15" s="38"/>
      <c r="U15" s="9">
        <f t="shared" si="0"/>
        <v>44665</v>
      </c>
      <c r="V15" s="22" t="s">
        <v>258</v>
      </c>
      <c r="W15" s="1">
        <f t="shared" ca="1" si="1"/>
        <v>-985</v>
      </c>
      <c r="X15" s="16" t="str">
        <f t="shared" ca="1" si="2"/>
        <v>NO</v>
      </c>
      <c r="Y15" s="12" t="str">
        <f t="shared" si="3"/>
        <v>NO</v>
      </c>
      <c r="Z15" s="14" t="s">
        <v>126</v>
      </c>
      <c r="AA15" s="15">
        <f t="shared" ca="1" si="4"/>
        <v>-985</v>
      </c>
      <c r="AB15" s="7">
        <f t="shared" si="5"/>
        <v>14</v>
      </c>
      <c r="AC15">
        <f t="shared" si="6"/>
        <v>4</v>
      </c>
      <c r="AD15">
        <f t="shared" si="7"/>
        <v>2023</v>
      </c>
    </row>
    <row r="16" spans="1:30" ht="18" x14ac:dyDescent="0.2">
      <c r="A16" s="27" t="s">
        <v>188</v>
      </c>
      <c r="B16" s="31"/>
      <c r="C16" s="27"/>
      <c r="D16" s="31"/>
      <c r="E16" s="27"/>
      <c r="F16" s="31"/>
      <c r="G16" s="27" t="s">
        <v>41</v>
      </c>
      <c r="H16" s="28"/>
      <c r="I16" s="29" t="s">
        <v>7</v>
      </c>
      <c r="J16" s="30"/>
      <c r="K16" s="29" t="s">
        <v>11</v>
      </c>
      <c r="L16" s="30"/>
      <c r="M16" s="32" t="s">
        <v>9</v>
      </c>
      <c r="N16" s="57"/>
      <c r="O16" s="33">
        <v>5.0000000000000001E-4</v>
      </c>
      <c r="P16" s="34"/>
      <c r="Q16" s="29" t="s">
        <v>159</v>
      </c>
      <c r="R16" s="30"/>
      <c r="S16" s="37">
        <v>45399</v>
      </c>
      <c r="T16" s="38"/>
      <c r="U16" s="9">
        <f t="shared" si="0"/>
        <v>45033</v>
      </c>
      <c r="V16" s="22" t="s">
        <v>258</v>
      </c>
      <c r="W16" s="1">
        <f t="shared" ca="1" si="1"/>
        <v>-616</v>
      </c>
      <c r="X16" s="16" t="str">
        <f t="shared" ca="1" si="2"/>
        <v>NO</v>
      </c>
      <c r="Y16" s="12" t="str">
        <f t="shared" si="3"/>
        <v>NO</v>
      </c>
      <c r="Z16" s="14" t="s">
        <v>126</v>
      </c>
      <c r="AA16" s="15">
        <f t="shared" ca="1" si="4"/>
        <v>-616</v>
      </c>
      <c r="AB16" s="7">
        <f t="shared" si="5"/>
        <v>17</v>
      </c>
      <c r="AC16">
        <f t="shared" si="6"/>
        <v>4</v>
      </c>
      <c r="AD16">
        <f t="shared" si="7"/>
        <v>2024</v>
      </c>
    </row>
    <row r="17" spans="1:30" ht="18" x14ac:dyDescent="0.2">
      <c r="A17" s="27" t="s">
        <v>126</v>
      </c>
      <c r="B17" s="31"/>
      <c r="C17" s="27"/>
      <c r="D17" s="31"/>
      <c r="E17" s="27"/>
      <c r="F17" s="31"/>
      <c r="G17" s="27" t="s">
        <v>41</v>
      </c>
      <c r="H17" s="28"/>
      <c r="I17" s="29" t="s">
        <v>7</v>
      </c>
      <c r="J17" s="30"/>
      <c r="K17" s="29" t="s">
        <v>11</v>
      </c>
      <c r="L17" s="30"/>
      <c r="M17" s="32" t="s">
        <v>9</v>
      </c>
      <c r="N17" s="30"/>
      <c r="O17" s="33">
        <v>5.0000000000000001E-4</v>
      </c>
      <c r="P17" s="34"/>
      <c r="Q17" s="35" t="s">
        <v>119</v>
      </c>
      <c r="R17" s="36"/>
      <c r="S17" s="37">
        <v>45780</v>
      </c>
      <c r="T17" s="38"/>
      <c r="U17" s="9">
        <f>DATE(AD17-1,AC17,AB17)</f>
        <v>45415</v>
      </c>
      <c r="V17" s="22" t="s">
        <v>258</v>
      </c>
      <c r="W17" s="1">
        <f t="shared" ca="1" si="1"/>
        <v>-235</v>
      </c>
      <c r="X17" s="16" t="str">
        <f t="shared" ca="1" si="2"/>
        <v>NO</v>
      </c>
      <c r="Y17" s="12" t="str">
        <f t="shared" si="3"/>
        <v>NO</v>
      </c>
      <c r="Z17" s="14" t="s">
        <v>126</v>
      </c>
      <c r="AA17" s="15">
        <f t="shared" ca="1" si="4"/>
        <v>-235</v>
      </c>
      <c r="AB17" s="7">
        <f t="shared" si="5"/>
        <v>3</v>
      </c>
      <c r="AC17">
        <f t="shared" si="6"/>
        <v>5</v>
      </c>
      <c r="AD17">
        <f t="shared" si="7"/>
        <v>2025</v>
      </c>
    </row>
    <row r="18" spans="1:30" ht="18" x14ac:dyDescent="0.2">
      <c r="A18" s="27" t="s">
        <v>126</v>
      </c>
      <c r="B18" s="31"/>
      <c r="C18" s="27"/>
      <c r="D18" s="31"/>
      <c r="E18" s="27"/>
      <c r="F18" s="31"/>
      <c r="G18" s="27" t="s">
        <v>41</v>
      </c>
      <c r="H18" s="28"/>
      <c r="I18" s="29" t="s">
        <v>7</v>
      </c>
      <c r="J18" s="30"/>
      <c r="K18" s="29" t="s">
        <v>11</v>
      </c>
      <c r="L18" s="30"/>
      <c r="M18" s="32" t="s">
        <v>9</v>
      </c>
      <c r="N18" s="30"/>
      <c r="O18" s="33">
        <v>5.0000000000000001E-4</v>
      </c>
      <c r="P18" s="34"/>
      <c r="Q18" s="35" t="s">
        <v>282</v>
      </c>
      <c r="R18" s="36"/>
      <c r="S18" s="37">
        <v>46148</v>
      </c>
      <c r="T18" s="38"/>
      <c r="U18" s="9">
        <f>DATE(AD18-1,AC18,AB18)</f>
        <v>45783</v>
      </c>
      <c r="V18" s="22" t="s">
        <v>258</v>
      </c>
      <c r="W18" s="1">
        <f t="shared" ca="1" si="1"/>
        <v>133</v>
      </c>
      <c r="X18" s="16" t="str">
        <f t="shared" ca="1" si="2"/>
        <v>NO</v>
      </c>
      <c r="Y18" s="12" t="str">
        <f>IF(AND($Z$1&gt;=U18,$Z$1&lt;=S18),"OK","NO")</f>
        <v>OK</v>
      </c>
      <c r="Z18" s="14" t="s">
        <v>188</v>
      </c>
      <c r="AA18" s="15">
        <f t="shared" ca="1" si="4"/>
        <v>133</v>
      </c>
      <c r="AB18" s="7">
        <f>DAY(S18)</f>
        <v>6</v>
      </c>
      <c r="AC18">
        <f>MONTH(S18)</f>
        <v>5</v>
      </c>
      <c r="AD18">
        <f>YEAR(S18)</f>
        <v>2026</v>
      </c>
    </row>
    <row r="19" spans="1:30" ht="18" x14ac:dyDescent="0.2">
      <c r="A19" s="27" t="s">
        <v>188</v>
      </c>
      <c r="B19" s="31"/>
      <c r="C19" s="27"/>
      <c r="D19" s="31"/>
      <c r="E19" s="27"/>
      <c r="F19" s="31"/>
      <c r="G19" s="27" t="s">
        <v>41</v>
      </c>
      <c r="H19" s="28"/>
      <c r="I19" s="29" t="s">
        <v>7</v>
      </c>
      <c r="J19" s="30"/>
      <c r="K19" s="29" t="s">
        <v>12</v>
      </c>
      <c r="L19" s="30"/>
      <c r="M19" s="32" t="s">
        <v>13</v>
      </c>
      <c r="N19" s="30"/>
      <c r="O19" s="33">
        <v>5.0000000000000001E-4</v>
      </c>
      <c r="P19" s="34"/>
      <c r="Q19" s="29" t="s">
        <v>145</v>
      </c>
      <c r="R19" s="30"/>
      <c r="S19" s="37">
        <v>45030</v>
      </c>
      <c r="T19" s="38"/>
      <c r="U19" s="9">
        <f t="shared" si="0"/>
        <v>44665</v>
      </c>
      <c r="V19" s="22" t="s">
        <v>259</v>
      </c>
      <c r="W19" s="1">
        <f t="shared" ca="1" si="1"/>
        <v>-985</v>
      </c>
      <c r="X19" s="16" t="str">
        <f t="shared" ca="1" si="2"/>
        <v>NO</v>
      </c>
      <c r="Y19" s="12" t="str">
        <f t="shared" si="3"/>
        <v>NO</v>
      </c>
      <c r="Z19" s="14" t="s">
        <v>126</v>
      </c>
      <c r="AA19" s="15">
        <f t="shared" ca="1" si="4"/>
        <v>-985</v>
      </c>
      <c r="AB19" s="7">
        <f t="shared" si="5"/>
        <v>14</v>
      </c>
      <c r="AC19">
        <f t="shared" si="6"/>
        <v>4</v>
      </c>
      <c r="AD19">
        <f t="shared" si="7"/>
        <v>2023</v>
      </c>
    </row>
    <row r="20" spans="1:30" ht="18" x14ac:dyDescent="0.2">
      <c r="A20" s="27" t="s">
        <v>188</v>
      </c>
      <c r="B20" s="31"/>
      <c r="C20" s="27"/>
      <c r="D20" s="31"/>
      <c r="E20" s="27"/>
      <c r="F20" s="31"/>
      <c r="G20" s="27" t="s">
        <v>41</v>
      </c>
      <c r="H20" s="28"/>
      <c r="I20" s="29" t="s">
        <v>7</v>
      </c>
      <c r="J20" s="30"/>
      <c r="K20" s="29" t="s">
        <v>12</v>
      </c>
      <c r="L20" s="30"/>
      <c r="M20" s="32" t="s">
        <v>13</v>
      </c>
      <c r="N20" s="30"/>
      <c r="O20" s="33">
        <v>5.0000000000000001E-4</v>
      </c>
      <c r="P20" s="34"/>
      <c r="Q20" s="29" t="s">
        <v>144</v>
      </c>
      <c r="R20" s="30"/>
      <c r="S20" s="37">
        <v>45399</v>
      </c>
      <c r="T20" s="38"/>
      <c r="U20" s="9">
        <f t="shared" si="0"/>
        <v>45033</v>
      </c>
      <c r="V20" s="22" t="s">
        <v>259</v>
      </c>
      <c r="W20" s="1">
        <f t="shared" ca="1" si="1"/>
        <v>-616</v>
      </c>
      <c r="X20" s="16" t="str">
        <f t="shared" ca="1" si="2"/>
        <v>NO</v>
      </c>
      <c r="Y20" s="12" t="str">
        <f t="shared" si="3"/>
        <v>NO</v>
      </c>
      <c r="Z20" s="14" t="s">
        <v>126</v>
      </c>
      <c r="AA20" s="15">
        <f t="shared" ca="1" si="4"/>
        <v>-616</v>
      </c>
      <c r="AB20" s="7">
        <f t="shared" si="5"/>
        <v>17</v>
      </c>
      <c r="AC20">
        <f t="shared" si="6"/>
        <v>4</v>
      </c>
      <c r="AD20">
        <f t="shared" si="7"/>
        <v>2024</v>
      </c>
    </row>
    <row r="21" spans="1:30" ht="18" x14ac:dyDescent="0.2">
      <c r="A21" s="27" t="s">
        <v>126</v>
      </c>
      <c r="B21" s="31"/>
      <c r="C21" s="27"/>
      <c r="D21" s="31"/>
      <c r="E21" s="27"/>
      <c r="F21" s="31"/>
      <c r="G21" s="27" t="s">
        <v>41</v>
      </c>
      <c r="H21" s="28"/>
      <c r="I21" s="29" t="s">
        <v>7</v>
      </c>
      <c r="J21" s="30"/>
      <c r="K21" s="29" t="s">
        <v>12</v>
      </c>
      <c r="L21" s="30"/>
      <c r="M21" s="32" t="s">
        <v>13</v>
      </c>
      <c r="N21" s="30"/>
      <c r="O21" s="33">
        <v>5.0000000000000001E-4</v>
      </c>
      <c r="P21" s="34"/>
      <c r="Q21" s="35" t="s">
        <v>117</v>
      </c>
      <c r="R21" s="36"/>
      <c r="S21" s="37">
        <v>45780</v>
      </c>
      <c r="T21" s="38"/>
      <c r="U21" s="9">
        <f t="shared" si="0"/>
        <v>45415</v>
      </c>
      <c r="V21" s="22" t="s">
        <v>259</v>
      </c>
      <c r="W21" s="1">
        <f t="shared" ca="1" si="1"/>
        <v>-235</v>
      </c>
      <c r="X21" s="16" t="str">
        <f t="shared" ca="1" si="2"/>
        <v>NO</v>
      </c>
      <c r="Y21" s="12" t="str">
        <f t="shared" si="3"/>
        <v>NO</v>
      </c>
      <c r="Z21" s="14" t="s">
        <v>126</v>
      </c>
      <c r="AA21" s="15">
        <f t="shared" ca="1" si="4"/>
        <v>-235</v>
      </c>
      <c r="AB21" s="7">
        <f t="shared" si="5"/>
        <v>3</v>
      </c>
      <c r="AC21">
        <f t="shared" si="6"/>
        <v>5</v>
      </c>
      <c r="AD21">
        <f t="shared" si="7"/>
        <v>2025</v>
      </c>
    </row>
    <row r="22" spans="1:30" ht="18" x14ac:dyDescent="0.2">
      <c r="A22" s="27" t="s">
        <v>126</v>
      </c>
      <c r="B22" s="31"/>
      <c r="C22" s="27"/>
      <c r="D22" s="31"/>
      <c r="E22" s="27"/>
      <c r="F22" s="31"/>
      <c r="G22" s="27" t="s">
        <v>41</v>
      </c>
      <c r="H22" s="28"/>
      <c r="I22" s="29" t="s">
        <v>7</v>
      </c>
      <c r="J22" s="30"/>
      <c r="K22" s="29" t="s">
        <v>12</v>
      </c>
      <c r="L22" s="30"/>
      <c r="M22" s="32" t="s">
        <v>13</v>
      </c>
      <c r="N22" s="30"/>
      <c r="O22" s="33">
        <v>5.0000000000000001E-4</v>
      </c>
      <c r="P22" s="34"/>
      <c r="Q22" s="35" t="s">
        <v>283</v>
      </c>
      <c r="R22" s="36"/>
      <c r="S22" s="37">
        <v>46148</v>
      </c>
      <c r="T22" s="38"/>
      <c r="U22" s="9">
        <f>DATE(AD22-1,AC22,AB22)</f>
        <v>45783</v>
      </c>
      <c r="V22" s="22" t="s">
        <v>259</v>
      </c>
      <c r="W22" s="1">
        <f t="shared" ca="1" si="1"/>
        <v>133</v>
      </c>
      <c r="X22" s="16" t="str">
        <f t="shared" ca="1" si="2"/>
        <v>NO</v>
      </c>
      <c r="Y22" s="12" t="str">
        <f>IF(AND($Z$1&gt;=U22,$Z$1&lt;=S22),"OK","NO")</f>
        <v>OK</v>
      </c>
      <c r="Z22" s="14" t="s">
        <v>188</v>
      </c>
      <c r="AA22" s="15">
        <f t="shared" ca="1" si="4"/>
        <v>133</v>
      </c>
      <c r="AB22" s="7">
        <f>DAY(S22)</f>
        <v>6</v>
      </c>
      <c r="AC22">
        <f>MONTH(S22)</f>
        <v>5</v>
      </c>
      <c r="AD22">
        <f>YEAR(S22)</f>
        <v>2026</v>
      </c>
    </row>
    <row r="23" spans="1:30" ht="18" x14ac:dyDescent="0.2">
      <c r="A23" s="27" t="s">
        <v>188</v>
      </c>
      <c r="B23" s="31"/>
      <c r="C23" s="27"/>
      <c r="D23" s="31"/>
      <c r="E23" s="27"/>
      <c r="F23" s="31"/>
      <c r="G23" s="27" t="s">
        <v>41</v>
      </c>
      <c r="H23" s="28"/>
      <c r="I23" s="29" t="s">
        <v>7</v>
      </c>
      <c r="J23" s="30"/>
      <c r="K23" s="29" t="s">
        <v>14</v>
      </c>
      <c r="L23" s="30"/>
      <c r="M23" s="32" t="s">
        <v>13</v>
      </c>
      <c r="N23" s="30"/>
      <c r="O23" s="33">
        <v>5.0000000000000001E-4</v>
      </c>
      <c r="P23" s="34"/>
      <c r="Q23" s="29" t="s">
        <v>162</v>
      </c>
      <c r="R23" s="30"/>
      <c r="S23" s="37">
        <v>45030</v>
      </c>
      <c r="T23" s="38"/>
      <c r="U23" s="9">
        <f t="shared" si="0"/>
        <v>44665</v>
      </c>
      <c r="V23" s="22" t="s">
        <v>260</v>
      </c>
      <c r="W23" s="1">
        <f t="shared" ca="1" si="1"/>
        <v>-985</v>
      </c>
      <c r="X23" s="16" t="str">
        <f t="shared" ca="1" si="2"/>
        <v>NO</v>
      </c>
      <c r="Y23" s="12" t="str">
        <f t="shared" si="3"/>
        <v>NO</v>
      </c>
      <c r="Z23" s="14" t="s">
        <v>126</v>
      </c>
      <c r="AA23" s="15">
        <f t="shared" ca="1" si="4"/>
        <v>-985</v>
      </c>
      <c r="AB23" s="7">
        <f t="shared" si="5"/>
        <v>14</v>
      </c>
      <c r="AC23">
        <f t="shared" si="6"/>
        <v>4</v>
      </c>
      <c r="AD23">
        <f t="shared" si="7"/>
        <v>2023</v>
      </c>
    </row>
    <row r="24" spans="1:30" ht="18" x14ac:dyDescent="0.2">
      <c r="A24" s="27" t="s">
        <v>188</v>
      </c>
      <c r="B24" s="31"/>
      <c r="C24" s="27"/>
      <c r="D24" s="31"/>
      <c r="E24" s="27"/>
      <c r="F24" s="31"/>
      <c r="G24" s="27" t="s">
        <v>41</v>
      </c>
      <c r="H24" s="28"/>
      <c r="I24" s="29" t="s">
        <v>7</v>
      </c>
      <c r="J24" s="30"/>
      <c r="K24" s="29" t="s">
        <v>14</v>
      </c>
      <c r="L24" s="30"/>
      <c r="M24" s="32" t="s">
        <v>13</v>
      </c>
      <c r="N24" s="30"/>
      <c r="O24" s="33">
        <v>5.0000000000000001E-4</v>
      </c>
      <c r="P24" s="34"/>
      <c r="Q24" s="29" t="s">
        <v>161</v>
      </c>
      <c r="R24" s="30"/>
      <c r="S24" s="37">
        <v>45399</v>
      </c>
      <c r="T24" s="38"/>
      <c r="U24" s="9">
        <f t="shared" si="0"/>
        <v>45033</v>
      </c>
      <c r="V24" s="22" t="s">
        <v>260</v>
      </c>
      <c r="W24" s="1">
        <f t="shared" ca="1" si="1"/>
        <v>-616</v>
      </c>
      <c r="X24" s="16" t="str">
        <f t="shared" ca="1" si="2"/>
        <v>NO</v>
      </c>
      <c r="Y24" s="12" t="str">
        <f t="shared" si="3"/>
        <v>NO</v>
      </c>
      <c r="Z24" s="14" t="s">
        <v>126</v>
      </c>
      <c r="AA24" s="15">
        <f t="shared" ca="1" si="4"/>
        <v>-616</v>
      </c>
      <c r="AB24" s="7">
        <f t="shared" si="5"/>
        <v>17</v>
      </c>
      <c r="AC24">
        <f t="shared" si="6"/>
        <v>4</v>
      </c>
      <c r="AD24">
        <f t="shared" si="7"/>
        <v>2024</v>
      </c>
    </row>
    <row r="25" spans="1:30" ht="18" x14ac:dyDescent="0.2">
      <c r="A25" s="27" t="s">
        <v>126</v>
      </c>
      <c r="B25" s="31"/>
      <c r="C25" s="27"/>
      <c r="D25" s="31"/>
      <c r="E25" s="27"/>
      <c r="F25" s="31"/>
      <c r="G25" s="27" t="s">
        <v>41</v>
      </c>
      <c r="H25" s="28"/>
      <c r="I25" s="29" t="s">
        <v>7</v>
      </c>
      <c r="J25" s="30"/>
      <c r="K25" s="29" t="s">
        <v>14</v>
      </c>
      <c r="L25" s="30"/>
      <c r="M25" s="32" t="s">
        <v>13</v>
      </c>
      <c r="N25" s="30"/>
      <c r="O25" s="33">
        <v>5.0000000000000001E-4</v>
      </c>
      <c r="P25" s="34"/>
      <c r="Q25" s="35" t="s">
        <v>118</v>
      </c>
      <c r="R25" s="36"/>
      <c r="S25" s="37">
        <v>45780</v>
      </c>
      <c r="T25" s="38"/>
      <c r="U25" s="9">
        <f>DATE(AD25-1,AC25,AB25)</f>
        <v>45415</v>
      </c>
      <c r="V25" s="22" t="s">
        <v>260</v>
      </c>
      <c r="W25" s="1">
        <f t="shared" ca="1" si="1"/>
        <v>-235</v>
      </c>
      <c r="X25" s="16" t="str">
        <f t="shared" ca="1" si="2"/>
        <v>NO</v>
      </c>
      <c r="Y25" s="12" t="str">
        <f>IF(AND($Z$1&gt;=U25,$Z$1&lt;=S25),"OK","NO")</f>
        <v>NO</v>
      </c>
      <c r="Z25" s="14" t="s">
        <v>126</v>
      </c>
      <c r="AA25" s="15">
        <f t="shared" ca="1" si="4"/>
        <v>-235</v>
      </c>
      <c r="AB25" s="7">
        <f>DAY(S25)</f>
        <v>3</v>
      </c>
      <c r="AC25">
        <f>MONTH(S25)</f>
        <v>5</v>
      </c>
      <c r="AD25">
        <f>YEAR(S25)</f>
        <v>2025</v>
      </c>
    </row>
    <row r="26" spans="1:30" ht="18" x14ac:dyDescent="0.2">
      <c r="A26" s="27" t="s">
        <v>126</v>
      </c>
      <c r="B26" s="31"/>
      <c r="C26" s="27"/>
      <c r="D26" s="31"/>
      <c r="E26" s="27"/>
      <c r="F26" s="31"/>
      <c r="G26" s="27" t="s">
        <v>41</v>
      </c>
      <c r="H26" s="28"/>
      <c r="I26" s="29" t="s">
        <v>7</v>
      </c>
      <c r="J26" s="30"/>
      <c r="K26" s="29" t="s">
        <v>14</v>
      </c>
      <c r="L26" s="30"/>
      <c r="M26" s="32" t="s">
        <v>13</v>
      </c>
      <c r="N26" s="30"/>
      <c r="O26" s="33">
        <v>5.0000000000000001E-4</v>
      </c>
      <c r="P26" s="34"/>
      <c r="Q26" s="35" t="s">
        <v>284</v>
      </c>
      <c r="R26" s="36"/>
      <c r="S26" s="37">
        <v>46148</v>
      </c>
      <c r="T26" s="38"/>
      <c r="U26" s="9">
        <f>DATE(AD26-1,AC26,AB26)</f>
        <v>45783</v>
      </c>
      <c r="V26" s="22" t="s">
        <v>260</v>
      </c>
      <c r="W26" s="1">
        <f t="shared" ca="1" si="1"/>
        <v>133</v>
      </c>
      <c r="X26" s="16" t="str">
        <f t="shared" ca="1" si="2"/>
        <v>NO</v>
      </c>
      <c r="Y26" s="12" t="str">
        <f>IF(AND($Z$1&gt;=U26,$Z$1&lt;=S26),"OK","NO")</f>
        <v>OK</v>
      </c>
      <c r="Z26" s="14" t="s">
        <v>188</v>
      </c>
      <c r="AA26" s="15">
        <f t="shared" ca="1" si="4"/>
        <v>133</v>
      </c>
      <c r="AB26" s="7">
        <f>DAY(S26)</f>
        <v>6</v>
      </c>
      <c r="AC26">
        <f>MONTH(S26)</f>
        <v>5</v>
      </c>
      <c r="AD26">
        <f>YEAR(S26)</f>
        <v>2026</v>
      </c>
    </row>
    <row r="27" spans="1:30" ht="18" x14ac:dyDescent="0.2">
      <c r="A27" s="27" t="s">
        <v>188</v>
      </c>
      <c r="B27" s="31"/>
      <c r="C27" s="27"/>
      <c r="D27" s="31"/>
      <c r="E27" s="27"/>
      <c r="F27" s="31"/>
      <c r="G27" s="27" t="s">
        <v>41</v>
      </c>
      <c r="H27" s="28"/>
      <c r="I27" s="29" t="s">
        <v>7</v>
      </c>
      <c r="J27" s="30"/>
      <c r="K27" s="29" t="s">
        <v>15</v>
      </c>
      <c r="L27" s="30"/>
      <c r="M27" s="32" t="s">
        <v>22</v>
      </c>
      <c r="N27" s="30"/>
      <c r="O27" s="33">
        <v>5.0000000000000001E-4</v>
      </c>
      <c r="P27" s="34"/>
      <c r="Q27" s="29" t="s">
        <v>150</v>
      </c>
      <c r="R27" s="30"/>
      <c r="S27" s="37">
        <v>45030</v>
      </c>
      <c r="T27" s="38"/>
      <c r="U27" s="9">
        <f t="shared" si="0"/>
        <v>44665</v>
      </c>
      <c r="V27" s="22" t="s">
        <v>261</v>
      </c>
      <c r="W27" s="1">
        <f t="shared" ca="1" si="1"/>
        <v>-985</v>
      </c>
      <c r="X27" s="16" t="str">
        <f t="shared" ca="1" si="2"/>
        <v>NO</v>
      </c>
      <c r="Y27" s="12" t="str">
        <f t="shared" si="3"/>
        <v>NO</v>
      </c>
      <c r="Z27" s="14" t="s">
        <v>126</v>
      </c>
      <c r="AA27" s="15">
        <f t="shared" ca="1" si="4"/>
        <v>-985</v>
      </c>
      <c r="AB27" s="7">
        <f t="shared" si="5"/>
        <v>14</v>
      </c>
      <c r="AC27">
        <f t="shared" si="6"/>
        <v>4</v>
      </c>
      <c r="AD27">
        <f t="shared" si="7"/>
        <v>2023</v>
      </c>
    </row>
    <row r="28" spans="1:30" ht="18" x14ac:dyDescent="0.2">
      <c r="A28" s="27" t="s">
        <v>188</v>
      </c>
      <c r="B28" s="31"/>
      <c r="C28" s="27"/>
      <c r="D28" s="31"/>
      <c r="E28" s="27"/>
      <c r="F28" s="31"/>
      <c r="G28" s="27" t="s">
        <v>41</v>
      </c>
      <c r="H28" s="28"/>
      <c r="I28" s="29" t="s">
        <v>7</v>
      </c>
      <c r="J28" s="30"/>
      <c r="K28" s="29" t="s">
        <v>15</v>
      </c>
      <c r="L28" s="30"/>
      <c r="M28" s="32" t="s">
        <v>22</v>
      </c>
      <c r="N28" s="30"/>
      <c r="O28" s="33">
        <v>5.0000000000000001E-4</v>
      </c>
      <c r="P28" s="34"/>
      <c r="Q28" s="29" t="s">
        <v>149</v>
      </c>
      <c r="R28" s="30"/>
      <c r="S28" s="37">
        <v>45399</v>
      </c>
      <c r="T28" s="38"/>
      <c r="U28" s="9">
        <f t="shared" si="0"/>
        <v>45033</v>
      </c>
      <c r="V28" s="22" t="s">
        <v>261</v>
      </c>
      <c r="W28" s="1">
        <f t="shared" ca="1" si="1"/>
        <v>-616</v>
      </c>
      <c r="X28" s="16" t="str">
        <f t="shared" ca="1" si="2"/>
        <v>NO</v>
      </c>
      <c r="Y28" s="12" t="str">
        <f t="shared" si="3"/>
        <v>NO</v>
      </c>
      <c r="Z28" s="14" t="s">
        <v>126</v>
      </c>
      <c r="AA28" s="15">
        <f t="shared" ca="1" si="4"/>
        <v>-616</v>
      </c>
      <c r="AB28" s="7">
        <f t="shared" si="5"/>
        <v>17</v>
      </c>
      <c r="AC28">
        <f t="shared" si="6"/>
        <v>4</v>
      </c>
      <c r="AD28">
        <f t="shared" si="7"/>
        <v>2024</v>
      </c>
    </row>
    <row r="29" spans="1:30" ht="18" x14ac:dyDescent="0.2">
      <c r="A29" s="27" t="s">
        <v>126</v>
      </c>
      <c r="B29" s="31"/>
      <c r="C29" s="27"/>
      <c r="D29" s="31"/>
      <c r="E29" s="27"/>
      <c r="F29" s="31"/>
      <c r="G29" s="27" t="s">
        <v>41</v>
      </c>
      <c r="H29" s="28"/>
      <c r="I29" s="29" t="s">
        <v>7</v>
      </c>
      <c r="J29" s="30"/>
      <c r="K29" s="29" t="s">
        <v>15</v>
      </c>
      <c r="L29" s="30"/>
      <c r="M29" s="32" t="s">
        <v>22</v>
      </c>
      <c r="N29" s="30"/>
      <c r="O29" s="33">
        <v>5.0000000000000001E-4</v>
      </c>
      <c r="P29" s="34"/>
      <c r="Q29" s="35" t="s">
        <v>115</v>
      </c>
      <c r="R29" s="36"/>
      <c r="S29" s="37">
        <v>45780</v>
      </c>
      <c r="T29" s="38"/>
      <c r="U29" s="9">
        <f>DATE(AD29-1,AC29,AB29)</f>
        <v>45415</v>
      </c>
      <c r="V29" s="22" t="s">
        <v>261</v>
      </c>
      <c r="W29" s="1">
        <f t="shared" ca="1" si="1"/>
        <v>-235</v>
      </c>
      <c r="X29" s="16" t="str">
        <f t="shared" ca="1" si="2"/>
        <v>NO</v>
      </c>
      <c r="Y29" s="12" t="str">
        <f t="shared" si="3"/>
        <v>NO</v>
      </c>
      <c r="Z29" s="14" t="s">
        <v>126</v>
      </c>
      <c r="AA29" s="15">
        <f t="shared" ca="1" si="4"/>
        <v>-235</v>
      </c>
      <c r="AB29" s="7">
        <f t="shared" si="5"/>
        <v>3</v>
      </c>
      <c r="AC29">
        <f t="shared" si="6"/>
        <v>5</v>
      </c>
      <c r="AD29">
        <f t="shared" si="7"/>
        <v>2025</v>
      </c>
    </row>
    <row r="30" spans="1:30" ht="18" x14ac:dyDescent="0.2">
      <c r="A30" s="27" t="s">
        <v>126</v>
      </c>
      <c r="B30" s="31"/>
      <c r="C30" s="27"/>
      <c r="D30" s="31"/>
      <c r="E30" s="27"/>
      <c r="F30" s="31"/>
      <c r="G30" s="27" t="s">
        <v>41</v>
      </c>
      <c r="H30" s="28"/>
      <c r="I30" s="29" t="s">
        <v>7</v>
      </c>
      <c r="J30" s="30"/>
      <c r="K30" s="29" t="s">
        <v>15</v>
      </c>
      <c r="L30" s="30"/>
      <c r="M30" s="32" t="s">
        <v>22</v>
      </c>
      <c r="N30" s="30"/>
      <c r="O30" s="33">
        <v>5.0000000000000001E-4</v>
      </c>
      <c r="P30" s="34"/>
      <c r="Q30" s="35" t="s">
        <v>292</v>
      </c>
      <c r="R30" s="36"/>
      <c r="S30" s="37">
        <v>46156</v>
      </c>
      <c r="T30" s="38"/>
      <c r="U30" s="9">
        <f>DATE(AD30-1,AC30,AB30)</f>
        <v>45791</v>
      </c>
      <c r="V30" s="22" t="s">
        <v>261</v>
      </c>
      <c r="W30" s="1">
        <f t="shared" ca="1" si="1"/>
        <v>141</v>
      </c>
      <c r="X30" s="16" t="str">
        <f t="shared" ca="1" si="2"/>
        <v>NO</v>
      </c>
      <c r="Y30" s="12" t="str">
        <f>IF(AND($Z$1&gt;=U30,$Z$1&lt;=S30),"OK","NO")</f>
        <v>OK</v>
      </c>
      <c r="Z30" s="14" t="s">
        <v>188</v>
      </c>
      <c r="AA30" s="15">
        <f t="shared" ca="1" si="4"/>
        <v>141</v>
      </c>
      <c r="AB30" s="7">
        <f>DAY(S30)</f>
        <v>14</v>
      </c>
      <c r="AC30">
        <f>MONTH(S30)</f>
        <v>5</v>
      </c>
      <c r="AD30">
        <f>YEAR(S30)</f>
        <v>2026</v>
      </c>
    </row>
    <row r="31" spans="1:30" ht="18" x14ac:dyDescent="0.2">
      <c r="A31" s="27" t="s">
        <v>188</v>
      </c>
      <c r="B31" s="31"/>
      <c r="C31" s="27"/>
      <c r="D31" s="31"/>
      <c r="E31" s="27"/>
      <c r="F31" s="31"/>
      <c r="G31" s="27" t="s">
        <v>41</v>
      </c>
      <c r="H31" s="28"/>
      <c r="I31" s="29" t="s">
        <v>7</v>
      </c>
      <c r="J31" s="30"/>
      <c r="K31" s="29" t="s">
        <v>16</v>
      </c>
      <c r="L31" s="30"/>
      <c r="M31" s="32" t="s">
        <v>22</v>
      </c>
      <c r="N31" s="30"/>
      <c r="O31" s="33">
        <v>5.0000000000000001E-4</v>
      </c>
      <c r="P31" s="34"/>
      <c r="Q31" s="29" t="s">
        <v>148</v>
      </c>
      <c r="R31" s="30"/>
      <c r="S31" s="37">
        <v>45030</v>
      </c>
      <c r="T31" s="38"/>
      <c r="U31" s="9">
        <f t="shared" si="0"/>
        <v>44665</v>
      </c>
      <c r="V31" s="22" t="s">
        <v>262</v>
      </c>
      <c r="W31" s="1">
        <f t="shared" ca="1" si="1"/>
        <v>-985</v>
      </c>
      <c r="X31" s="16" t="str">
        <f t="shared" ca="1" si="2"/>
        <v>NO</v>
      </c>
      <c r="Y31" s="12" t="str">
        <f t="shared" si="3"/>
        <v>NO</v>
      </c>
      <c r="Z31" s="14" t="s">
        <v>126</v>
      </c>
      <c r="AA31" s="15">
        <f t="shared" ca="1" si="4"/>
        <v>-985</v>
      </c>
      <c r="AB31" s="7">
        <f t="shared" si="5"/>
        <v>14</v>
      </c>
      <c r="AC31">
        <f t="shared" si="6"/>
        <v>4</v>
      </c>
      <c r="AD31">
        <f t="shared" si="7"/>
        <v>2023</v>
      </c>
    </row>
    <row r="32" spans="1:30" ht="18" x14ac:dyDescent="0.2">
      <c r="A32" s="27" t="s">
        <v>188</v>
      </c>
      <c r="B32" s="31"/>
      <c r="C32" s="27"/>
      <c r="D32" s="31"/>
      <c r="E32" s="27"/>
      <c r="F32" s="31"/>
      <c r="G32" s="27" t="s">
        <v>41</v>
      </c>
      <c r="H32" s="28"/>
      <c r="I32" s="29" t="s">
        <v>7</v>
      </c>
      <c r="J32" s="30"/>
      <c r="K32" s="29" t="s">
        <v>16</v>
      </c>
      <c r="L32" s="30"/>
      <c r="M32" s="32" t="s">
        <v>22</v>
      </c>
      <c r="N32" s="30"/>
      <c r="O32" s="33">
        <v>5.0000000000000001E-4</v>
      </c>
      <c r="P32" s="34"/>
      <c r="Q32" s="29" t="s">
        <v>147</v>
      </c>
      <c r="R32" s="30"/>
      <c r="S32" s="37">
        <v>45399</v>
      </c>
      <c r="T32" s="38"/>
      <c r="U32" s="9">
        <f t="shared" si="0"/>
        <v>45033</v>
      </c>
      <c r="V32" s="22" t="s">
        <v>262</v>
      </c>
      <c r="W32" s="1">
        <f t="shared" ca="1" si="1"/>
        <v>-616</v>
      </c>
      <c r="X32" s="16" t="str">
        <f t="shared" ca="1" si="2"/>
        <v>NO</v>
      </c>
      <c r="Y32" s="12" t="str">
        <f t="shared" si="3"/>
        <v>NO</v>
      </c>
      <c r="Z32" s="14" t="s">
        <v>126</v>
      </c>
      <c r="AA32" s="15">
        <f t="shared" ca="1" si="4"/>
        <v>-616</v>
      </c>
      <c r="AB32" s="7">
        <f t="shared" si="5"/>
        <v>17</v>
      </c>
      <c r="AC32">
        <f t="shared" si="6"/>
        <v>4</v>
      </c>
      <c r="AD32">
        <f t="shared" si="7"/>
        <v>2024</v>
      </c>
    </row>
    <row r="33" spans="1:30" ht="18" x14ac:dyDescent="0.2">
      <c r="A33" s="27" t="s">
        <v>126</v>
      </c>
      <c r="B33" s="31"/>
      <c r="C33" s="27"/>
      <c r="D33" s="31"/>
      <c r="E33" s="27"/>
      <c r="F33" s="31"/>
      <c r="G33" s="27" t="s">
        <v>41</v>
      </c>
      <c r="H33" s="28"/>
      <c r="I33" s="29" t="s">
        <v>7</v>
      </c>
      <c r="J33" s="30"/>
      <c r="K33" s="29" t="s">
        <v>16</v>
      </c>
      <c r="L33" s="30"/>
      <c r="M33" s="32" t="s">
        <v>22</v>
      </c>
      <c r="N33" s="30"/>
      <c r="O33" s="33">
        <v>5.0000000000000001E-4</v>
      </c>
      <c r="P33" s="34"/>
      <c r="Q33" s="35" t="s">
        <v>116</v>
      </c>
      <c r="R33" s="36"/>
      <c r="S33" s="37">
        <v>45780</v>
      </c>
      <c r="T33" s="38"/>
      <c r="U33" s="9">
        <f t="shared" si="0"/>
        <v>45415</v>
      </c>
      <c r="V33" s="22" t="s">
        <v>262</v>
      </c>
      <c r="W33" s="1">
        <f t="shared" ca="1" si="1"/>
        <v>-235</v>
      </c>
      <c r="X33" s="16" t="str">
        <f t="shared" ca="1" si="2"/>
        <v>NO</v>
      </c>
      <c r="Y33" s="12" t="str">
        <f t="shared" si="3"/>
        <v>NO</v>
      </c>
      <c r="Z33" s="14" t="s">
        <v>126</v>
      </c>
      <c r="AA33" s="15">
        <f t="shared" ca="1" si="4"/>
        <v>-235</v>
      </c>
      <c r="AB33" s="7">
        <f t="shared" si="5"/>
        <v>3</v>
      </c>
      <c r="AC33">
        <f t="shared" si="6"/>
        <v>5</v>
      </c>
      <c r="AD33">
        <f t="shared" si="7"/>
        <v>2025</v>
      </c>
    </row>
    <row r="34" spans="1:30" ht="18" x14ac:dyDescent="0.2">
      <c r="A34" s="27" t="s">
        <v>126</v>
      </c>
      <c r="B34" s="31"/>
      <c r="C34" s="27"/>
      <c r="D34" s="31"/>
      <c r="E34" s="27"/>
      <c r="F34" s="31"/>
      <c r="G34" s="27" t="s">
        <v>41</v>
      </c>
      <c r="H34" s="28"/>
      <c r="I34" s="29" t="s">
        <v>7</v>
      </c>
      <c r="J34" s="30"/>
      <c r="K34" s="29" t="s">
        <v>16</v>
      </c>
      <c r="L34" s="30"/>
      <c r="M34" s="32" t="s">
        <v>22</v>
      </c>
      <c r="N34" s="30"/>
      <c r="O34" s="33">
        <v>5.0000000000000001E-4</v>
      </c>
      <c r="P34" s="34"/>
      <c r="Q34" s="35" t="s">
        <v>291</v>
      </c>
      <c r="R34" s="36"/>
      <c r="S34" s="37">
        <v>46149</v>
      </c>
      <c r="T34" s="38"/>
      <c r="U34" s="9">
        <f>DATE(AD34-1,AC34,AB34)</f>
        <v>45784</v>
      </c>
      <c r="V34" s="22" t="s">
        <v>262</v>
      </c>
      <c r="W34" s="1">
        <f t="shared" ca="1" si="1"/>
        <v>134</v>
      </c>
      <c r="X34" s="16" t="str">
        <f t="shared" ca="1" si="2"/>
        <v>NO</v>
      </c>
      <c r="Y34" s="12" t="str">
        <f>IF(AND($Z$1&gt;=U34,$Z$1&lt;=S34),"OK","NO")</f>
        <v>OK</v>
      </c>
      <c r="Z34" s="14" t="s">
        <v>188</v>
      </c>
      <c r="AA34" s="15">
        <f t="shared" ca="1" si="4"/>
        <v>134</v>
      </c>
      <c r="AB34" s="7">
        <f>DAY(S34)</f>
        <v>7</v>
      </c>
      <c r="AC34">
        <f>MONTH(S34)</f>
        <v>5</v>
      </c>
      <c r="AD34">
        <f>YEAR(S34)</f>
        <v>2026</v>
      </c>
    </row>
    <row r="35" spans="1:30" ht="18" x14ac:dyDescent="0.2">
      <c r="A35" s="27" t="s">
        <v>126</v>
      </c>
      <c r="B35" s="31"/>
      <c r="C35" s="27"/>
      <c r="D35" s="31"/>
      <c r="E35" s="27"/>
      <c r="F35" s="31"/>
      <c r="G35" s="27" t="s">
        <v>41</v>
      </c>
      <c r="H35" s="28"/>
      <c r="I35" s="29" t="s">
        <v>275</v>
      </c>
      <c r="J35" s="30"/>
      <c r="K35" s="29">
        <v>700742</v>
      </c>
      <c r="L35" s="30"/>
      <c r="M35" s="32" t="s">
        <v>19</v>
      </c>
      <c r="N35" s="30"/>
      <c r="O35" s="33">
        <v>2E-3</v>
      </c>
      <c r="P35" s="34"/>
      <c r="Q35" s="35" t="s">
        <v>276</v>
      </c>
      <c r="R35" s="36"/>
      <c r="S35" s="37">
        <v>46128</v>
      </c>
      <c r="T35" s="38"/>
      <c r="U35" s="9">
        <f>DATE(AD35-1,AC35,AB35)</f>
        <v>45763</v>
      </c>
      <c r="V35" s="22" t="s">
        <v>277</v>
      </c>
      <c r="W35" s="1">
        <f t="shared" ca="1" si="1"/>
        <v>113</v>
      </c>
      <c r="X35" s="16" t="str">
        <f t="shared" ca="1" si="2"/>
        <v>NO</v>
      </c>
      <c r="Y35" s="12" t="str">
        <f>IF(AND($Z$1&gt;=U35,$Z$1&lt;=S35),"OK","NO")</f>
        <v>OK</v>
      </c>
      <c r="Z35" s="14" t="s">
        <v>188</v>
      </c>
      <c r="AA35" s="15">
        <f t="shared" ca="1" si="4"/>
        <v>113</v>
      </c>
      <c r="AB35" s="7">
        <f>DAY(S35)</f>
        <v>16</v>
      </c>
      <c r="AC35">
        <f>MONTH(S35)</f>
        <v>4</v>
      </c>
      <c r="AD35">
        <f>YEAR(S35)</f>
        <v>2026</v>
      </c>
    </row>
    <row r="36" spans="1:30" ht="18" x14ac:dyDescent="0.2">
      <c r="A36" s="27" t="s">
        <v>126</v>
      </c>
      <c r="B36" s="31"/>
      <c r="C36" s="27"/>
      <c r="D36" s="31"/>
      <c r="E36" s="27"/>
      <c r="F36" s="31"/>
      <c r="G36" s="27" t="s">
        <v>41</v>
      </c>
      <c r="H36" s="28"/>
      <c r="I36" s="29" t="s">
        <v>275</v>
      </c>
      <c r="J36" s="30"/>
      <c r="K36" s="29">
        <v>916886</v>
      </c>
      <c r="L36" s="30"/>
      <c r="M36" s="32" t="s">
        <v>19</v>
      </c>
      <c r="N36" s="30"/>
      <c r="O36" s="33">
        <v>2E-3</v>
      </c>
      <c r="P36" s="34"/>
      <c r="Q36" s="35" t="s">
        <v>279</v>
      </c>
      <c r="R36" s="36"/>
      <c r="S36" s="37">
        <v>46128</v>
      </c>
      <c r="T36" s="38"/>
      <c r="U36" s="9">
        <f>DATE(AD36-1,AC36,AB36)</f>
        <v>45763</v>
      </c>
      <c r="V36" s="22" t="s">
        <v>278</v>
      </c>
      <c r="W36" s="1">
        <f t="shared" ca="1" si="1"/>
        <v>113</v>
      </c>
      <c r="X36" s="16" t="str">
        <f t="shared" ca="1" si="2"/>
        <v>NO</v>
      </c>
      <c r="Y36" s="12" t="str">
        <f>IF(AND($Z$1&gt;=U36,$Z$1&lt;=S36),"OK","NO")</f>
        <v>OK</v>
      </c>
      <c r="Z36" s="14" t="s">
        <v>188</v>
      </c>
      <c r="AA36" s="15">
        <f t="shared" ca="1" si="4"/>
        <v>113</v>
      </c>
      <c r="AB36" s="7">
        <f>DAY(S36)</f>
        <v>16</v>
      </c>
      <c r="AC36">
        <f>MONTH(S36)</f>
        <v>4</v>
      </c>
      <c r="AD36">
        <f>YEAR(S36)</f>
        <v>2026</v>
      </c>
    </row>
    <row r="37" spans="1:30" ht="18" x14ac:dyDescent="0.2">
      <c r="A37" s="27" t="s">
        <v>188</v>
      </c>
      <c r="B37" s="31"/>
      <c r="C37" s="27"/>
      <c r="D37" s="31"/>
      <c r="E37" s="27"/>
      <c r="F37" s="31"/>
      <c r="G37" s="86" t="s">
        <v>41</v>
      </c>
      <c r="H37" s="87"/>
      <c r="I37" s="52" t="s">
        <v>7</v>
      </c>
      <c r="J37" s="53"/>
      <c r="K37" s="52" t="s">
        <v>17</v>
      </c>
      <c r="L37" s="53"/>
      <c r="M37" s="54" t="s">
        <v>21</v>
      </c>
      <c r="N37" s="53"/>
      <c r="O37" s="47">
        <v>5.0000000000000001E-4</v>
      </c>
      <c r="P37" s="48"/>
      <c r="Q37" s="52" t="s">
        <v>61</v>
      </c>
      <c r="R37" s="53"/>
      <c r="S37" s="80" t="s">
        <v>71</v>
      </c>
      <c r="T37" s="81"/>
      <c r="U37" s="81"/>
      <c r="V37" s="81"/>
      <c r="W37" s="81"/>
      <c r="X37" s="16" t="e">
        <f t="shared" ca="1" si="2"/>
        <v>#VALUE!</v>
      </c>
      <c r="Y37" s="12" t="str">
        <f t="shared" si="3"/>
        <v>OK</v>
      </c>
      <c r="Z37" s="14" t="s">
        <v>71</v>
      </c>
      <c r="AA37" s="15" t="e">
        <f t="shared" ca="1" si="4"/>
        <v>#VALUE!</v>
      </c>
      <c r="AB37" s="7" t="e">
        <f t="shared" si="5"/>
        <v>#VALUE!</v>
      </c>
      <c r="AC37" t="e">
        <f t="shared" si="6"/>
        <v>#VALUE!</v>
      </c>
      <c r="AD37" t="e">
        <f t="shared" si="7"/>
        <v>#VALUE!</v>
      </c>
    </row>
    <row r="38" spans="1:30" ht="18" x14ac:dyDescent="0.2">
      <c r="A38" s="27" t="s">
        <v>126</v>
      </c>
      <c r="B38" s="31"/>
      <c r="C38" s="27"/>
      <c r="D38" s="31"/>
      <c r="E38" s="27"/>
      <c r="F38" s="31"/>
      <c r="G38" s="27" t="s">
        <v>42</v>
      </c>
      <c r="H38" s="28"/>
      <c r="I38" s="29" t="s">
        <v>7</v>
      </c>
      <c r="J38" s="30"/>
      <c r="K38" s="29">
        <v>3407130</v>
      </c>
      <c r="L38" s="30"/>
      <c r="M38" s="32" t="s">
        <v>44</v>
      </c>
      <c r="N38" s="57"/>
      <c r="O38" s="33">
        <v>6.9999999999999999E-4</v>
      </c>
      <c r="P38" s="34"/>
      <c r="Q38" s="35" t="s">
        <v>300</v>
      </c>
      <c r="R38" s="36"/>
      <c r="S38" s="37">
        <v>46172</v>
      </c>
      <c r="T38" s="38"/>
      <c r="U38" s="9">
        <f>DATE(AD38-1,AC38,AB38)</f>
        <v>45807</v>
      </c>
      <c r="V38" s="22" t="s">
        <v>305</v>
      </c>
      <c r="W38" s="1">
        <f t="shared" ref="W38:W46" ca="1" si="8">S38-$G$1</f>
        <v>157</v>
      </c>
      <c r="X38" s="16" t="str">
        <f t="shared" ca="1" si="2"/>
        <v>NO</v>
      </c>
      <c r="Y38" s="12" t="str">
        <f>IF(AND($Z$1&gt;=U38,$Z$1&lt;=S38),"OK","NO")</f>
        <v>OK</v>
      </c>
      <c r="Z38" s="14" t="s">
        <v>188</v>
      </c>
      <c r="AA38" s="15">
        <f t="shared" ca="1" si="4"/>
        <v>157</v>
      </c>
      <c r="AB38" s="7">
        <f>DAY(S38)</f>
        <v>30</v>
      </c>
      <c r="AC38">
        <f>MONTH(S38)</f>
        <v>5</v>
      </c>
      <c r="AD38">
        <f>YEAR(S38)</f>
        <v>2026</v>
      </c>
    </row>
    <row r="39" spans="1:30" ht="18" x14ac:dyDescent="0.2">
      <c r="A39" s="27" t="s">
        <v>126</v>
      </c>
      <c r="B39" s="31"/>
      <c r="C39" s="27"/>
      <c r="D39" s="31"/>
      <c r="E39" s="27"/>
      <c r="F39" s="31"/>
      <c r="G39" s="27" t="s">
        <v>42</v>
      </c>
      <c r="H39" s="28"/>
      <c r="I39" s="29" t="s">
        <v>7</v>
      </c>
      <c r="J39" s="30"/>
      <c r="K39" s="29">
        <v>3407131</v>
      </c>
      <c r="L39" s="30"/>
      <c r="M39" s="32" t="s">
        <v>44</v>
      </c>
      <c r="N39" s="57"/>
      <c r="O39" s="33">
        <v>6.9999999999999999E-4</v>
      </c>
      <c r="P39" s="34"/>
      <c r="Q39" s="35" t="s">
        <v>301</v>
      </c>
      <c r="R39" s="36"/>
      <c r="S39" s="37">
        <v>46172</v>
      </c>
      <c r="T39" s="38"/>
      <c r="U39" s="9">
        <f>DATE(AD39-1,AC39,AB39)</f>
        <v>45807</v>
      </c>
      <c r="V39" s="22" t="s">
        <v>304</v>
      </c>
      <c r="W39" s="1">
        <f t="shared" ca="1" si="8"/>
        <v>157</v>
      </c>
      <c r="X39" s="16" t="str">
        <f t="shared" ref="X39:X70" ca="1" si="9">IF(AND(AA39&gt;-1000,AA39&lt;60,Z39="NO"),"SI","NO")</f>
        <v>NO</v>
      </c>
      <c r="Y39" s="12" t="str">
        <f>IF(AND($Z$1&gt;=U39,$Z$1&lt;=S39),"OK","NO")</f>
        <v>OK</v>
      </c>
      <c r="Z39" s="14" t="s">
        <v>188</v>
      </c>
      <c r="AA39" s="15">
        <f t="shared" ref="AA39:AA70" ca="1" si="10">S39-$G$1</f>
        <v>157</v>
      </c>
      <c r="AB39" s="7">
        <f>DAY(S39)</f>
        <v>30</v>
      </c>
      <c r="AC39">
        <f>MONTH(S39)</f>
        <v>5</v>
      </c>
      <c r="AD39">
        <f>YEAR(S39)</f>
        <v>2026</v>
      </c>
    </row>
    <row r="40" spans="1:30" ht="18" x14ac:dyDescent="0.2">
      <c r="A40" s="27" t="s">
        <v>126</v>
      </c>
      <c r="B40" s="31"/>
      <c r="C40" s="27"/>
      <c r="D40" s="31"/>
      <c r="E40" s="27"/>
      <c r="F40" s="31"/>
      <c r="G40" s="41" t="s">
        <v>41</v>
      </c>
      <c r="H40" s="42"/>
      <c r="I40" s="51" t="s">
        <v>7</v>
      </c>
      <c r="J40" s="40"/>
      <c r="K40" s="51" t="s">
        <v>97</v>
      </c>
      <c r="L40" s="40"/>
      <c r="M40" s="39" t="s">
        <v>22</v>
      </c>
      <c r="N40" s="40"/>
      <c r="O40" s="43">
        <v>1E-3</v>
      </c>
      <c r="P40" s="44"/>
      <c r="Q40" s="45" t="s">
        <v>98</v>
      </c>
      <c r="R40" s="46"/>
      <c r="S40" s="49">
        <v>45737</v>
      </c>
      <c r="T40" s="50"/>
      <c r="U40" s="9">
        <f t="shared" si="0"/>
        <v>45372</v>
      </c>
      <c r="V40" s="6" t="s">
        <v>142</v>
      </c>
      <c r="W40" s="1">
        <f t="shared" ca="1" si="8"/>
        <v>-278</v>
      </c>
      <c r="X40" s="16" t="str">
        <f t="shared" ca="1" si="9"/>
        <v>NO</v>
      </c>
      <c r="Y40" s="12" t="str">
        <f t="shared" si="3"/>
        <v>NO</v>
      </c>
      <c r="Z40" s="14" t="s">
        <v>126</v>
      </c>
      <c r="AA40" s="15">
        <f t="shared" ca="1" si="10"/>
        <v>-278</v>
      </c>
      <c r="AB40" s="7">
        <f t="shared" si="5"/>
        <v>21</v>
      </c>
      <c r="AC40">
        <f t="shared" si="6"/>
        <v>3</v>
      </c>
      <c r="AD40">
        <f t="shared" si="7"/>
        <v>2025</v>
      </c>
    </row>
    <row r="41" spans="1:30" ht="18" x14ac:dyDescent="0.2">
      <c r="A41" s="27" t="s">
        <v>126</v>
      </c>
      <c r="B41" s="31"/>
      <c r="C41" s="27"/>
      <c r="D41" s="31"/>
      <c r="E41" s="27"/>
      <c r="F41" s="31"/>
      <c r="G41" s="41" t="s">
        <v>41</v>
      </c>
      <c r="H41" s="42"/>
      <c r="I41" s="51" t="s">
        <v>7</v>
      </c>
      <c r="J41" s="40"/>
      <c r="K41" s="51" t="s">
        <v>97</v>
      </c>
      <c r="L41" s="40"/>
      <c r="M41" s="39" t="s">
        <v>22</v>
      </c>
      <c r="N41" s="40"/>
      <c r="O41" s="43">
        <v>1E-3</v>
      </c>
      <c r="P41" s="44"/>
      <c r="Q41" s="45" t="s">
        <v>270</v>
      </c>
      <c r="R41" s="46"/>
      <c r="S41" s="49">
        <v>46129</v>
      </c>
      <c r="T41" s="50"/>
      <c r="U41" s="9">
        <f>DATE(AD41-1,AC41,AB41)</f>
        <v>45764</v>
      </c>
      <c r="V41" s="6" t="s">
        <v>142</v>
      </c>
      <c r="W41" s="1">
        <f t="shared" ca="1" si="8"/>
        <v>114</v>
      </c>
      <c r="X41" s="16" t="str">
        <f t="shared" ca="1" si="9"/>
        <v>NO</v>
      </c>
      <c r="Y41" s="12" t="str">
        <f>IF(AND($Z$1&gt;=U41,$Z$1&lt;=S41),"OK","NO")</f>
        <v>OK</v>
      </c>
      <c r="Z41" s="14" t="s">
        <v>188</v>
      </c>
      <c r="AA41" s="15">
        <f t="shared" ca="1" si="10"/>
        <v>114</v>
      </c>
      <c r="AB41" s="7">
        <f>DAY(S41)</f>
        <v>17</v>
      </c>
      <c r="AC41">
        <f>MONTH(S41)</f>
        <v>4</v>
      </c>
      <c r="AD41">
        <f>YEAR(S41)</f>
        <v>2026</v>
      </c>
    </row>
    <row r="42" spans="1:30" ht="18" x14ac:dyDescent="0.2">
      <c r="A42" s="27" t="s">
        <v>126</v>
      </c>
      <c r="B42" s="31"/>
      <c r="C42" s="27"/>
      <c r="D42" s="31"/>
      <c r="E42" s="27"/>
      <c r="F42" s="31"/>
      <c r="G42" s="41" t="s">
        <v>41</v>
      </c>
      <c r="H42" s="42"/>
      <c r="I42" s="51" t="s">
        <v>7</v>
      </c>
      <c r="J42" s="40"/>
      <c r="K42" s="51" t="s">
        <v>99</v>
      </c>
      <c r="L42" s="40"/>
      <c r="M42" s="39" t="s">
        <v>22</v>
      </c>
      <c r="N42" s="40"/>
      <c r="O42" s="43">
        <v>1E-3</v>
      </c>
      <c r="P42" s="44"/>
      <c r="Q42" s="45" t="s">
        <v>100</v>
      </c>
      <c r="R42" s="46"/>
      <c r="S42" s="49">
        <v>45737</v>
      </c>
      <c r="T42" s="50"/>
      <c r="U42" s="9">
        <f t="shared" si="0"/>
        <v>45372</v>
      </c>
      <c r="V42" s="6" t="s">
        <v>141</v>
      </c>
      <c r="W42" s="1">
        <f t="shared" ca="1" si="8"/>
        <v>-278</v>
      </c>
      <c r="X42" s="16" t="str">
        <f t="shared" ca="1" si="9"/>
        <v>NO</v>
      </c>
      <c r="Y42" s="12" t="str">
        <f t="shared" si="3"/>
        <v>NO</v>
      </c>
      <c r="Z42" s="14" t="s">
        <v>126</v>
      </c>
      <c r="AA42" s="15">
        <f t="shared" ca="1" si="10"/>
        <v>-278</v>
      </c>
      <c r="AB42" s="7">
        <f t="shared" si="5"/>
        <v>21</v>
      </c>
      <c r="AC42">
        <f t="shared" si="6"/>
        <v>3</v>
      </c>
      <c r="AD42">
        <f t="shared" si="7"/>
        <v>2025</v>
      </c>
    </row>
    <row r="43" spans="1:30" ht="18" x14ac:dyDescent="0.2">
      <c r="A43" s="27" t="s">
        <v>126</v>
      </c>
      <c r="B43" s="31"/>
      <c r="C43" s="27"/>
      <c r="D43" s="31"/>
      <c r="E43" s="27"/>
      <c r="F43" s="31"/>
      <c r="G43" s="41" t="s">
        <v>41</v>
      </c>
      <c r="H43" s="42"/>
      <c r="I43" s="51" t="s">
        <v>7</v>
      </c>
      <c r="J43" s="40"/>
      <c r="K43" s="51" t="s">
        <v>99</v>
      </c>
      <c r="L43" s="40"/>
      <c r="M43" s="39" t="s">
        <v>22</v>
      </c>
      <c r="N43" s="40"/>
      <c r="O43" s="43">
        <v>1E-3</v>
      </c>
      <c r="P43" s="44"/>
      <c r="Q43" s="45" t="s">
        <v>271</v>
      </c>
      <c r="R43" s="46"/>
      <c r="S43" s="49">
        <v>46129</v>
      </c>
      <c r="T43" s="50"/>
      <c r="U43" s="9">
        <f>DATE(AD43-1,AC43,AB43)</f>
        <v>45764</v>
      </c>
      <c r="V43" s="6" t="s">
        <v>141</v>
      </c>
      <c r="W43" s="1">
        <f t="shared" ca="1" si="8"/>
        <v>114</v>
      </c>
      <c r="X43" s="16" t="str">
        <f t="shared" ca="1" si="9"/>
        <v>NO</v>
      </c>
      <c r="Y43" s="12" t="str">
        <f>IF(AND($Z$1&gt;=U43,$Z$1&lt;=S43),"OK","NO")</f>
        <v>OK</v>
      </c>
      <c r="Z43" s="14" t="s">
        <v>188</v>
      </c>
      <c r="AA43" s="15">
        <f t="shared" ca="1" si="10"/>
        <v>114</v>
      </c>
      <c r="AB43" s="7">
        <f>DAY(S43)</f>
        <v>17</v>
      </c>
      <c r="AC43">
        <f>MONTH(S43)</f>
        <v>4</v>
      </c>
      <c r="AD43">
        <f>YEAR(S43)</f>
        <v>2026</v>
      </c>
    </row>
    <row r="44" spans="1:30" ht="18" x14ac:dyDescent="0.2">
      <c r="A44" s="27" t="s">
        <v>126</v>
      </c>
      <c r="B44" s="31"/>
      <c r="C44" s="27"/>
      <c r="D44" s="31"/>
      <c r="E44" s="27"/>
      <c r="F44" s="31"/>
      <c r="G44" s="41" t="s">
        <v>41</v>
      </c>
      <c r="H44" s="42"/>
      <c r="I44" s="51" t="s">
        <v>7</v>
      </c>
      <c r="J44" s="40"/>
      <c r="K44" s="51" t="s">
        <v>185</v>
      </c>
      <c r="L44" s="40"/>
      <c r="M44" s="39" t="s">
        <v>22</v>
      </c>
      <c r="N44" s="40"/>
      <c r="O44" s="43">
        <v>1E-3</v>
      </c>
      <c r="P44" s="44"/>
      <c r="Q44" s="45" t="s">
        <v>101</v>
      </c>
      <c r="R44" s="46"/>
      <c r="S44" s="49">
        <v>45737</v>
      </c>
      <c r="T44" s="50"/>
      <c r="U44" s="9">
        <f t="shared" si="0"/>
        <v>45372</v>
      </c>
      <c r="V44" s="6" t="s">
        <v>143</v>
      </c>
      <c r="W44" s="1">
        <f t="shared" ca="1" si="8"/>
        <v>-278</v>
      </c>
      <c r="X44" s="16" t="str">
        <f t="shared" ca="1" si="9"/>
        <v>NO</v>
      </c>
      <c r="Y44" s="12" t="str">
        <f t="shared" si="3"/>
        <v>NO</v>
      </c>
      <c r="Z44" s="14" t="s">
        <v>126</v>
      </c>
      <c r="AA44" s="15">
        <f t="shared" ca="1" si="10"/>
        <v>-278</v>
      </c>
      <c r="AB44" s="7">
        <f t="shared" si="5"/>
        <v>21</v>
      </c>
      <c r="AC44">
        <f t="shared" si="6"/>
        <v>3</v>
      </c>
      <c r="AD44">
        <f t="shared" si="7"/>
        <v>2025</v>
      </c>
    </row>
    <row r="45" spans="1:30" ht="18" x14ac:dyDescent="0.2">
      <c r="A45" s="27" t="s">
        <v>126</v>
      </c>
      <c r="B45" s="31"/>
      <c r="C45" s="27"/>
      <c r="D45" s="31"/>
      <c r="E45" s="27"/>
      <c r="F45" s="31"/>
      <c r="G45" s="41" t="s">
        <v>41</v>
      </c>
      <c r="H45" s="42"/>
      <c r="I45" s="51" t="s">
        <v>7</v>
      </c>
      <c r="J45" s="40"/>
      <c r="K45" s="51" t="s">
        <v>185</v>
      </c>
      <c r="L45" s="40"/>
      <c r="M45" s="39" t="s">
        <v>22</v>
      </c>
      <c r="N45" s="40"/>
      <c r="O45" s="43">
        <v>1E-3</v>
      </c>
      <c r="P45" s="44"/>
      <c r="Q45" s="45" t="s">
        <v>269</v>
      </c>
      <c r="R45" s="46"/>
      <c r="S45" s="49">
        <v>46142</v>
      </c>
      <c r="T45" s="50"/>
      <c r="U45" s="9">
        <f>DATE(AD45-1,AC45,AB45)</f>
        <v>45777</v>
      </c>
      <c r="V45" s="6" t="s">
        <v>143</v>
      </c>
      <c r="W45" s="1">
        <f t="shared" ca="1" si="8"/>
        <v>127</v>
      </c>
      <c r="X45" s="16" t="str">
        <f t="shared" ca="1" si="9"/>
        <v>NO</v>
      </c>
      <c r="Y45" s="12" t="str">
        <f>IF(AND($Z$1&gt;=U45,$Z$1&lt;=S45),"OK","NO")</f>
        <v>OK</v>
      </c>
      <c r="Z45" s="14" t="s">
        <v>188</v>
      </c>
      <c r="AA45" s="15">
        <f t="shared" ca="1" si="10"/>
        <v>127</v>
      </c>
      <c r="AB45" s="7">
        <f>DAY(S45)</f>
        <v>30</v>
      </c>
      <c r="AC45">
        <f>MONTH(S45)</f>
        <v>4</v>
      </c>
      <c r="AD45">
        <f>YEAR(S45)</f>
        <v>2026</v>
      </c>
    </row>
    <row r="46" spans="1:30" ht="18" x14ac:dyDescent="0.2">
      <c r="A46" s="27" t="s">
        <v>188</v>
      </c>
      <c r="B46" s="31"/>
      <c r="C46" s="27"/>
      <c r="D46" s="31"/>
      <c r="E46" s="27"/>
      <c r="F46" s="31"/>
      <c r="G46" s="27" t="s">
        <v>41</v>
      </c>
      <c r="H46" s="28"/>
      <c r="I46" s="29" t="s">
        <v>67</v>
      </c>
      <c r="J46" s="30"/>
      <c r="K46" s="29">
        <v>5645087</v>
      </c>
      <c r="L46" s="30"/>
      <c r="M46" s="32" t="s">
        <v>68</v>
      </c>
      <c r="N46" s="30"/>
      <c r="O46" s="33">
        <v>5.0000000000000001E-4</v>
      </c>
      <c r="P46" s="34"/>
      <c r="Q46" s="29" t="s">
        <v>76</v>
      </c>
      <c r="R46" s="30"/>
      <c r="S46" s="37">
        <v>45128</v>
      </c>
      <c r="T46" s="38"/>
      <c r="U46" s="9">
        <f t="shared" si="0"/>
        <v>44763</v>
      </c>
      <c r="V46" s="6"/>
      <c r="W46" s="1">
        <f t="shared" ca="1" si="8"/>
        <v>-887</v>
      </c>
      <c r="X46" s="16" t="str">
        <f t="shared" ca="1" si="9"/>
        <v>NO</v>
      </c>
      <c r="Y46" s="12" t="str">
        <f t="shared" si="3"/>
        <v>NO</v>
      </c>
      <c r="Z46" s="14" t="s">
        <v>126</v>
      </c>
      <c r="AA46" s="15">
        <f t="shared" ca="1" si="10"/>
        <v>-887</v>
      </c>
      <c r="AB46" s="7">
        <f t="shared" si="5"/>
        <v>21</v>
      </c>
      <c r="AC46">
        <f t="shared" si="6"/>
        <v>7</v>
      </c>
      <c r="AD46">
        <f t="shared" si="7"/>
        <v>2023</v>
      </c>
    </row>
    <row r="47" spans="1:30" ht="18" x14ac:dyDescent="0.2">
      <c r="A47" s="27" t="s">
        <v>126</v>
      </c>
      <c r="B47" s="31"/>
      <c r="C47" s="27"/>
      <c r="D47" s="31"/>
      <c r="E47" s="27"/>
      <c r="F47" s="31"/>
      <c r="G47" s="86" t="s">
        <v>41</v>
      </c>
      <c r="H47" s="87"/>
      <c r="I47" s="52" t="s">
        <v>67</v>
      </c>
      <c r="J47" s="53"/>
      <c r="K47" s="52">
        <v>5645087</v>
      </c>
      <c r="L47" s="53"/>
      <c r="M47" s="54" t="s">
        <v>68</v>
      </c>
      <c r="N47" s="53"/>
      <c r="O47" s="47">
        <v>5.0000000000000001E-4</v>
      </c>
      <c r="P47" s="48"/>
      <c r="Q47" s="52" t="s">
        <v>166</v>
      </c>
      <c r="R47" s="53"/>
      <c r="S47" s="82" t="s">
        <v>71</v>
      </c>
      <c r="T47" s="83"/>
      <c r="U47" s="24"/>
      <c r="V47" s="23" t="s">
        <v>167</v>
      </c>
      <c r="W47" s="24"/>
      <c r="X47" s="16" t="e">
        <f t="shared" ca="1" si="9"/>
        <v>#VALUE!</v>
      </c>
      <c r="Y47" s="12" t="str">
        <f t="shared" ref="Y47:Y89" si="11">IF(AND($Z$1&gt;=U47,$Z$1&lt;=S47),"OK","NO")</f>
        <v>OK</v>
      </c>
      <c r="Z47" s="14" t="s">
        <v>71</v>
      </c>
      <c r="AA47" s="15" t="e">
        <f t="shared" ca="1" si="10"/>
        <v>#VALUE!</v>
      </c>
      <c r="AB47" s="7" t="e">
        <f t="shared" ref="AB47:AB89" si="12">DAY(S47)</f>
        <v>#VALUE!</v>
      </c>
      <c r="AC47" t="e">
        <f t="shared" ref="AC47:AC89" si="13">MONTH(S47)</f>
        <v>#VALUE!</v>
      </c>
      <c r="AD47" t="e">
        <f t="shared" ref="AD47:AD89" si="14">YEAR(S47)</f>
        <v>#VALUE!</v>
      </c>
    </row>
    <row r="48" spans="1:30" ht="18" x14ac:dyDescent="0.2">
      <c r="A48" s="27" t="s">
        <v>188</v>
      </c>
      <c r="B48" s="31"/>
      <c r="C48" s="27"/>
      <c r="D48" s="31"/>
      <c r="E48" s="27"/>
      <c r="F48" s="31"/>
      <c r="G48" s="27" t="s">
        <v>41</v>
      </c>
      <c r="H48" s="28"/>
      <c r="I48" s="29" t="s">
        <v>67</v>
      </c>
      <c r="J48" s="30"/>
      <c r="K48" s="29">
        <v>5645085</v>
      </c>
      <c r="L48" s="30"/>
      <c r="M48" s="32" t="s">
        <v>68</v>
      </c>
      <c r="N48" s="30"/>
      <c r="O48" s="33">
        <v>5.0000000000000001E-4</v>
      </c>
      <c r="P48" s="34"/>
      <c r="Q48" s="29" t="s">
        <v>78</v>
      </c>
      <c r="R48" s="30"/>
      <c r="S48" s="37">
        <v>45190</v>
      </c>
      <c r="T48" s="38"/>
      <c r="U48" s="9">
        <f t="shared" ref="U48:U89" si="15">DATE(AD48-1,AC48,AB48)</f>
        <v>44825</v>
      </c>
      <c r="V48" s="6" t="s">
        <v>173</v>
      </c>
      <c r="W48" s="1">
        <f t="shared" ref="W48:W79" ca="1" si="16">S48-$G$1</f>
        <v>-825</v>
      </c>
      <c r="X48" s="16" t="str">
        <f t="shared" ca="1" si="9"/>
        <v>NO</v>
      </c>
      <c r="Y48" s="12" t="str">
        <f t="shared" si="11"/>
        <v>NO</v>
      </c>
      <c r="Z48" s="14" t="s">
        <v>126</v>
      </c>
      <c r="AA48" s="15">
        <f t="shared" ca="1" si="10"/>
        <v>-825</v>
      </c>
      <c r="AB48" s="7">
        <f t="shared" si="12"/>
        <v>21</v>
      </c>
      <c r="AC48">
        <f t="shared" si="13"/>
        <v>9</v>
      </c>
      <c r="AD48">
        <f t="shared" si="14"/>
        <v>2023</v>
      </c>
    </row>
    <row r="49" spans="1:30" ht="18" x14ac:dyDescent="0.2">
      <c r="A49" s="27" t="s">
        <v>126</v>
      </c>
      <c r="B49" s="31"/>
      <c r="C49" s="27"/>
      <c r="D49" s="31"/>
      <c r="E49" s="27"/>
      <c r="F49" s="31"/>
      <c r="G49" s="27" t="s">
        <v>41</v>
      </c>
      <c r="H49" s="28"/>
      <c r="I49" s="29" t="s">
        <v>67</v>
      </c>
      <c r="J49" s="30"/>
      <c r="K49" s="29">
        <v>5645085</v>
      </c>
      <c r="L49" s="30"/>
      <c r="M49" s="32" t="s">
        <v>68</v>
      </c>
      <c r="N49" s="30"/>
      <c r="O49" s="33">
        <v>5.0000000000000001E-4</v>
      </c>
      <c r="P49" s="34"/>
      <c r="Q49" s="35" t="s">
        <v>172</v>
      </c>
      <c r="R49" s="36"/>
      <c r="S49" s="37">
        <v>45793</v>
      </c>
      <c r="T49" s="38"/>
      <c r="U49" s="9">
        <f t="shared" si="15"/>
        <v>45428</v>
      </c>
      <c r="V49" s="6" t="s">
        <v>173</v>
      </c>
      <c r="W49" s="1">
        <f t="shared" ca="1" si="16"/>
        <v>-222</v>
      </c>
      <c r="X49" s="16" t="str">
        <f t="shared" ca="1" si="9"/>
        <v>NO</v>
      </c>
      <c r="Y49" s="12" t="str">
        <f t="shared" si="11"/>
        <v>NO</v>
      </c>
      <c r="Z49" s="14" t="s">
        <v>126</v>
      </c>
      <c r="AA49" s="15">
        <f t="shared" ca="1" si="10"/>
        <v>-222</v>
      </c>
      <c r="AB49" s="7">
        <f t="shared" si="12"/>
        <v>16</v>
      </c>
      <c r="AC49">
        <f t="shared" si="13"/>
        <v>5</v>
      </c>
      <c r="AD49">
        <f t="shared" si="14"/>
        <v>2025</v>
      </c>
    </row>
    <row r="50" spans="1:30" ht="18" x14ac:dyDescent="0.2">
      <c r="A50" s="27" t="s">
        <v>126</v>
      </c>
      <c r="B50" s="31"/>
      <c r="C50" s="27"/>
      <c r="D50" s="31"/>
      <c r="E50" s="27"/>
      <c r="F50" s="31"/>
      <c r="G50" s="27" t="s">
        <v>41</v>
      </c>
      <c r="H50" s="28"/>
      <c r="I50" s="29" t="s">
        <v>67</v>
      </c>
      <c r="J50" s="30"/>
      <c r="K50" s="29">
        <v>5645085</v>
      </c>
      <c r="L50" s="30"/>
      <c r="M50" s="32" t="s">
        <v>68</v>
      </c>
      <c r="N50" s="30"/>
      <c r="O50" s="33">
        <v>5.0000000000000001E-4</v>
      </c>
      <c r="P50" s="34"/>
      <c r="Q50" s="35" t="s">
        <v>290</v>
      </c>
      <c r="R50" s="36"/>
      <c r="S50" s="37">
        <v>46161</v>
      </c>
      <c r="T50" s="38"/>
      <c r="U50" s="9">
        <f>DATE(AD50-1,AC50,AB50)</f>
        <v>45796</v>
      </c>
      <c r="V50" s="6" t="s">
        <v>173</v>
      </c>
      <c r="W50" s="1">
        <f t="shared" ca="1" si="16"/>
        <v>146</v>
      </c>
      <c r="X50" s="16" t="str">
        <f t="shared" ca="1" si="9"/>
        <v>NO</v>
      </c>
      <c r="Y50" s="12" t="str">
        <f>IF(AND($Z$1&gt;=U50,$Z$1&lt;=S50),"OK","NO")</f>
        <v>OK</v>
      </c>
      <c r="Z50" s="14" t="s">
        <v>188</v>
      </c>
      <c r="AA50" s="15">
        <f t="shared" ca="1" si="10"/>
        <v>146</v>
      </c>
      <c r="AB50" s="7">
        <f>DAY(S50)</f>
        <v>19</v>
      </c>
      <c r="AC50">
        <f>MONTH(S50)</f>
        <v>5</v>
      </c>
      <c r="AD50">
        <f>YEAR(S50)</f>
        <v>2026</v>
      </c>
    </row>
    <row r="51" spans="1:30" ht="18" x14ac:dyDescent="0.2">
      <c r="A51" s="27" t="s">
        <v>188</v>
      </c>
      <c r="B51" s="31"/>
      <c r="C51" s="27"/>
      <c r="D51" s="31"/>
      <c r="E51" s="27"/>
      <c r="F51" s="31"/>
      <c r="G51" s="27" t="s">
        <v>41</v>
      </c>
      <c r="H51" s="28"/>
      <c r="I51" s="29" t="s">
        <v>67</v>
      </c>
      <c r="J51" s="30"/>
      <c r="K51" s="29">
        <v>5651698</v>
      </c>
      <c r="L51" s="30"/>
      <c r="M51" s="32" t="s">
        <v>69</v>
      </c>
      <c r="N51" s="30"/>
      <c r="O51" s="33">
        <v>5.0000000000000001E-4</v>
      </c>
      <c r="P51" s="34"/>
      <c r="Q51" s="29" t="s">
        <v>77</v>
      </c>
      <c r="R51" s="30"/>
      <c r="S51" s="37">
        <v>45190</v>
      </c>
      <c r="T51" s="38"/>
      <c r="U51" s="9">
        <f t="shared" si="15"/>
        <v>44825</v>
      </c>
      <c r="V51" s="6"/>
      <c r="W51" s="1">
        <f t="shared" ca="1" si="16"/>
        <v>-825</v>
      </c>
      <c r="X51" s="16" t="str">
        <f t="shared" ca="1" si="9"/>
        <v>NO</v>
      </c>
      <c r="Y51" s="12" t="str">
        <f t="shared" si="11"/>
        <v>NO</v>
      </c>
      <c r="Z51" s="14" t="s">
        <v>126</v>
      </c>
      <c r="AA51" s="15">
        <f t="shared" ca="1" si="10"/>
        <v>-825</v>
      </c>
      <c r="AB51" s="7">
        <f t="shared" si="12"/>
        <v>21</v>
      </c>
      <c r="AC51">
        <f t="shared" si="13"/>
        <v>9</v>
      </c>
      <c r="AD51">
        <f t="shared" si="14"/>
        <v>2023</v>
      </c>
    </row>
    <row r="52" spans="1:30" ht="18" x14ac:dyDescent="0.2">
      <c r="A52" s="27" t="s">
        <v>126</v>
      </c>
      <c r="B52" s="31"/>
      <c r="C52" s="27"/>
      <c r="D52" s="31"/>
      <c r="E52" s="27"/>
      <c r="F52" s="31"/>
      <c r="G52" s="27" t="s">
        <v>41</v>
      </c>
      <c r="H52" s="28"/>
      <c r="I52" s="29" t="s">
        <v>67</v>
      </c>
      <c r="J52" s="30"/>
      <c r="K52" s="29">
        <v>5651698</v>
      </c>
      <c r="L52" s="30"/>
      <c r="M52" s="32" t="s">
        <v>69</v>
      </c>
      <c r="N52" s="30"/>
      <c r="O52" s="33">
        <v>5.0000000000000001E-4</v>
      </c>
      <c r="P52" s="34"/>
      <c r="Q52" s="35" t="s">
        <v>168</v>
      </c>
      <c r="R52" s="36"/>
      <c r="S52" s="37">
        <v>45793</v>
      </c>
      <c r="T52" s="38"/>
      <c r="U52" s="9">
        <f t="shared" si="15"/>
        <v>45428</v>
      </c>
      <c r="V52" s="6" t="s">
        <v>169</v>
      </c>
      <c r="W52" s="1">
        <f t="shared" ca="1" si="16"/>
        <v>-222</v>
      </c>
      <c r="X52" s="16" t="str">
        <f t="shared" ca="1" si="9"/>
        <v>NO</v>
      </c>
      <c r="Y52" s="12" t="str">
        <f t="shared" si="11"/>
        <v>NO</v>
      </c>
      <c r="Z52" s="14" t="s">
        <v>126</v>
      </c>
      <c r="AA52" s="15">
        <f t="shared" ca="1" si="10"/>
        <v>-222</v>
      </c>
      <c r="AB52" s="7">
        <f t="shared" si="12"/>
        <v>16</v>
      </c>
      <c r="AC52">
        <f t="shared" si="13"/>
        <v>5</v>
      </c>
      <c r="AD52">
        <f t="shared" si="14"/>
        <v>2025</v>
      </c>
    </row>
    <row r="53" spans="1:30" ht="18" x14ac:dyDescent="0.2">
      <c r="A53" s="27" t="s">
        <v>126</v>
      </c>
      <c r="B53" s="31"/>
      <c r="C53" s="27"/>
      <c r="D53" s="31"/>
      <c r="E53" s="27"/>
      <c r="F53" s="31"/>
      <c r="G53" s="27" t="s">
        <v>41</v>
      </c>
      <c r="H53" s="28"/>
      <c r="I53" s="29" t="s">
        <v>67</v>
      </c>
      <c r="J53" s="30"/>
      <c r="K53" s="29">
        <v>5651698</v>
      </c>
      <c r="L53" s="30"/>
      <c r="M53" s="32" t="s">
        <v>69</v>
      </c>
      <c r="N53" s="30"/>
      <c r="O53" s="33">
        <v>5.0000000000000001E-4</v>
      </c>
      <c r="P53" s="34"/>
      <c r="Q53" s="35" t="s">
        <v>288</v>
      </c>
      <c r="R53" s="36"/>
      <c r="S53" s="37">
        <v>46161</v>
      </c>
      <c r="T53" s="38"/>
      <c r="U53" s="9">
        <f>DATE(AD53-1,AC53,AB53)</f>
        <v>45796</v>
      </c>
      <c r="V53" s="6" t="s">
        <v>169</v>
      </c>
      <c r="W53" s="1">
        <f t="shared" ca="1" si="16"/>
        <v>146</v>
      </c>
      <c r="X53" s="16" t="str">
        <f t="shared" ca="1" si="9"/>
        <v>NO</v>
      </c>
      <c r="Y53" s="12" t="str">
        <f>IF(AND($Z$1&gt;=U53,$Z$1&lt;=S53),"OK","NO")</f>
        <v>OK</v>
      </c>
      <c r="Z53" s="14" t="s">
        <v>188</v>
      </c>
      <c r="AA53" s="15">
        <f t="shared" ca="1" si="10"/>
        <v>146</v>
      </c>
      <c r="AB53" s="7">
        <f>DAY(S53)</f>
        <v>19</v>
      </c>
      <c r="AC53">
        <f>MONTH(S53)</f>
        <v>5</v>
      </c>
      <c r="AD53">
        <f>YEAR(S53)</f>
        <v>2026</v>
      </c>
    </row>
    <row r="54" spans="1:30" ht="18" x14ac:dyDescent="0.2">
      <c r="A54" s="27" t="s">
        <v>188</v>
      </c>
      <c r="B54" s="31"/>
      <c r="C54" s="27"/>
      <c r="D54" s="31"/>
      <c r="E54" s="27"/>
      <c r="F54" s="31"/>
      <c r="G54" s="27" t="s">
        <v>41</v>
      </c>
      <c r="H54" s="28"/>
      <c r="I54" s="29" t="s">
        <v>67</v>
      </c>
      <c r="J54" s="30"/>
      <c r="K54" s="29">
        <v>5649169</v>
      </c>
      <c r="L54" s="30"/>
      <c r="M54" s="32" t="s">
        <v>69</v>
      </c>
      <c r="N54" s="30"/>
      <c r="O54" s="33">
        <v>5.0000000000000001E-4</v>
      </c>
      <c r="P54" s="34"/>
      <c r="Q54" s="29" t="s">
        <v>75</v>
      </c>
      <c r="R54" s="30"/>
      <c r="S54" s="37">
        <v>45190</v>
      </c>
      <c r="T54" s="38"/>
      <c r="U54" s="9">
        <f t="shared" si="15"/>
        <v>44825</v>
      </c>
      <c r="V54" s="6" t="s">
        <v>171</v>
      </c>
      <c r="W54" s="1">
        <f t="shared" ca="1" si="16"/>
        <v>-825</v>
      </c>
      <c r="X54" s="16" t="str">
        <f t="shared" ca="1" si="9"/>
        <v>NO</v>
      </c>
      <c r="Y54" s="12" t="str">
        <f t="shared" si="11"/>
        <v>NO</v>
      </c>
      <c r="Z54" s="14" t="s">
        <v>126</v>
      </c>
      <c r="AA54" s="15">
        <f t="shared" ca="1" si="10"/>
        <v>-825</v>
      </c>
      <c r="AB54" s="7">
        <f t="shared" si="12"/>
        <v>21</v>
      </c>
      <c r="AC54">
        <f t="shared" si="13"/>
        <v>9</v>
      </c>
      <c r="AD54">
        <f t="shared" si="14"/>
        <v>2023</v>
      </c>
    </row>
    <row r="55" spans="1:30" ht="18" x14ac:dyDescent="0.2">
      <c r="A55" s="27" t="s">
        <v>126</v>
      </c>
      <c r="B55" s="31"/>
      <c r="C55" s="27"/>
      <c r="D55" s="31"/>
      <c r="E55" s="27"/>
      <c r="F55" s="31"/>
      <c r="G55" s="27" t="s">
        <v>41</v>
      </c>
      <c r="H55" s="28"/>
      <c r="I55" s="29" t="s">
        <v>67</v>
      </c>
      <c r="J55" s="30"/>
      <c r="K55" s="29">
        <v>5649169</v>
      </c>
      <c r="L55" s="30"/>
      <c r="M55" s="32" t="s">
        <v>69</v>
      </c>
      <c r="N55" s="30"/>
      <c r="O55" s="33">
        <v>5.0000000000000001E-4</v>
      </c>
      <c r="P55" s="34"/>
      <c r="Q55" s="35" t="s">
        <v>170</v>
      </c>
      <c r="R55" s="36"/>
      <c r="S55" s="37">
        <v>45793</v>
      </c>
      <c r="T55" s="38"/>
      <c r="U55" s="9">
        <f t="shared" si="15"/>
        <v>45428</v>
      </c>
      <c r="V55" s="6" t="s">
        <v>171</v>
      </c>
      <c r="W55" s="1">
        <f t="shared" ca="1" si="16"/>
        <v>-222</v>
      </c>
      <c r="X55" s="16" t="str">
        <f t="shared" ca="1" si="9"/>
        <v>NO</v>
      </c>
      <c r="Y55" s="12" t="str">
        <f t="shared" si="11"/>
        <v>NO</v>
      </c>
      <c r="Z55" s="14" t="s">
        <v>126</v>
      </c>
      <c r="AA55" s="15">
        <f t="shared" ca="1" si="10"/>
        <v>-222</v>
      </c>
      <c r="AB55" s="7">
        <f t="shared" si="12"/>
        <v>16</v>
      </c>
      <c r="AC55">
        <f t="shared" si="13"/>
        <v>5</v>
      </c>
      <c r="AD55">
        <f t="shared" si="14"/>
        <v>2025</v>
      </c>
    </row>
    <row r="56" spans="1:30" ht="18" x14ac:dyDescent="0.2">
      <c r="A56" s="27" t="s">
        <v>188</v>
      </c>
      <c r="B56" s="31"/>
      <c r="C56" s="27"/>
      <c r="D56" s="31"/>
      <c r="E56" s="27"/>
      <c r="F56" s="31"/>
      <c r="G56" s="27" t="s">
        <v>41</v>
      </c>
      <c r="H56" s="28"/>
      <c r="I56" s="29" t="s">
        <v>67</v>
      </c>
      <c r="J56" s="30"/>
      <c r="K56" s="29">
        <v>5649169</v>
      </c>
      <c r="L56" s="30"/>
      <c r="M56" s="32" t="s">
        <v>69</v>
      </c>
      <c r="N56" s="30"/>
      <c r="O56" s="33">
        <v>5.0000000000000001E-4</v>
      </c>
      <c r="P56" s="34"/>
      <c r="Q56" s="29" t="s">
        <v>289</v>
      </c>
      <c r="R56" s="30"/>
      <c r="S56" s="37">
        <v>46161</v>
      </c>
      <c r="T56" s="38"/>
      <c r="U56" s="9">
        <f t="shared" si="15"/>
        <v>45796</v>
      </c>
      <c r="V56" s="6" t="s">
        <v>171</v>
      </c>
      <c r="W56" s="1">
        <f t="shared" ca="1" si="16"/>
        <v>146</v>
      </c>
      <c r="X56" s="16" t="str">
        <f t="shared" ca="1" si="9"/>
        <v>NO</v>
      </c>
      <c r="Y56" s="12" t="str">
        <f t="shared" si="11"/>
        <v>OK</v>
      </c>
      <c r="Z56" s="14" t="s">
        <v>188</v>
      </c>
      <c r="AA56" s="15">
        <f t="shared" ca="1" si="10"/>
        <v>146</v>
      </c>
      <c r="AB56" s="7">
        <f t="shared" si="12"/>
        <v>19</v>
      </c>
      <c r="AC56">
        <f t="shared" si="13"/>
        <v>5</v>
      </c>
      <c r="AD56">
        <f t="shared" si="14"/>
        <v>2026</v>
      </c>
    </row>
    <row r="57" spans="1:30" ht="18" x14ac:dyDescent="0.2">
      <c r="A57" s="27" t="s">
        <v>188</v>
      </c>
      <c r="B57" s="31"/>
      <c r="C57" s="27"/>
      <c r="D57" s="31"/>
      <c r="E57" s="27"/>
      <c r="F57" s="31"/>
      <c r="G57" s="27" t="s">
        <v>41</v>
      </c>
      <c r="H57" s="28"/>
      <c r="I57" s="29" t="s">
        <v>43</v>
      </c>
      <c r="J57" s="30"/>
      <c r="K57" s="29">
        <v>4877344</v>
      </c>
      <c r="L57" s="30"/>
      <c r="M57" s="32" t="s">
        <v>70</v>
      </c>
      <c r="N57" s="57"/>
      <c r="O57" s="33">
        <v>5.0000000000000001E-4</v>
      </c>
      <c r="P57" s="34"/>
      <c r="Q57" s="55" t="s">
        <v>155</v>
      </c>
      <c r="R57" s="56"/>
      <c r="S57" s="37">
        <v>45000</v>
      </c>
      <c r="T57" s="38"/>
      <c r="U57" s="9">
        <f t="shared" si="15"/>
        <v>44635</v>
      </c>
      <c r="V57" s="6" t="s">
        <v>156</v>
      </c>
      <c r="W57" s="1">
        <f t="shared" ca="1" si="16"/>
        <v>-1015</v>
      </c>
      <c r="X57" s="16" t="str">
        <f t="shared" ca="1" si="9"/>
        <v>NO</v>
      </c>
      <c r="Y57" s="12" t="str">
        <f t="shared" si="11"/>
        <v>NO</v>
      </c>
      <c r="Z57" s="14" t="s">
        <v>126</v>
      </c>
      <c r="AA57" s="15">
        <f t="shared" ca="1" si="10"/>
        <v>-1015</v>
      </c>
      <c r="AB57" s="7">
        <f t="shared" si="12"/>
        <v>15</v>
      </c>
      <c r="AC57">
        <f t="shared" si="13"/>
        <v>3</v>
      </c>
      <c r="AD57">
        <f t="shared" si="14"/>
        <v>2023</v>
      </c>
    </row>
    <row r="58" spans="1:30" ht="18" x14ac:dyDescent="0.2">
      <c r="A58" s="27" t="s">
        <v>188</v>
      </c>
      <c r="B58" s="31"/>
      <c r="C58" s="27"/>
      <c r="D58" s="31"/>
      <c r="E58" s="27"/>
      <c r="F58" s="31"/>
      <c r="G58" s="27" t="s">
        <v>41</v>
      </c>
      <c r="H58" s="28"/>
      <c r="I58" s="29" t="s">
        <v>43</v>
      </c>
      <c r="J58" s="30"/>
      <c r="K58" s="29">
        <v>4877344</v>
      </c>
      <c r="L58" s="30"/>
      <c r="M58" s="32" t="s">
        <v>70</v>
      </c>
      <c r="N58" s="57"/>
      <c r="O58" s="33">
        <v>5.0000000000000001E-4</v>
      </c>
      <c r="P58" s="34"/>
      <c r="Q58" s="55" t="s">
        <v>154</v>
      </c>
      <c r="R58" s="56"/>
      <c r="S58" s="37">
        <v>45396</v>
      </c>
      <c r="T58" s="38"/>
      <c r="U58" s="9">
        <f t="shared" si="15"/>
        <v>45030</v>
      </c>
      <c r="V58" s="6" t="s">
        <v>156</v>
      </c>
      <c r="W58" s="1">
        <f t="shared" ca="1" si="16"/>
        <v>-619</v>
      </c>
      <c r="X58" s="16" t="str">
        <f t="shared" ca="1" si="9"/>
        <v>NO</v>
      </c>
      <c r="Y58" s="12" t="str">
        <f t="shared" si="11"/>
        <v>NO</v>
      </c>
      <c r="Z58" s="14" t="s">
        <v>126</v>
      </c>
      <c r="AA58" s="15">
        <f t="shared" ca="1" si="10"/>
        <v>-619</v>
      </c>
      <c r="AB58" s="7">
        <f t="shared" si="12"/>
        <v>14</v>
      </c>
      <c r="AC58">
        <f t="shared" si="13"/>
        <v>4</v>
      </c>
      <c r="AD58">
        <f t="shared" si="14"/>
        <v>2024</v>
      </c>
    </row>
    <row r="59" spans="1:30" ht="18" x14ac:dyDescent="0.2">
      <c r="A59" s="27" t="s">
        <v>126</v>
      </c>
      <c r="B59" s="31"/>
      <c r="C59" s="27"/>
      <c r="D59" s="31"/>
      <c r="E59" s="27"/>
      <c r="F59" s="31"/>
      <c r="G59" s="27" t="s">
        <v>41</v>
      </c>
      <c r="H59" s="28"/>
      <c r="I59" s="29" t="s">
        <v>43</v>
      </c>
      <c r="J59" s="30"/>
      <c r="K59" s="29">
        <v>4877344</v>
      </c>
      <c r="L59" s="30"/>
      <c r="M59" s="32" t="s">
        <v>70</v>
      </c>
      <c r="N59" s="57"/>
      <c r="O59" s="33">
        <v>5.0000000000000001E-4</v>
      </c>
      <c r="P59" s="34"/>
      <c r="Q59" s="35" t="s">
        <v>114</v>
      </c>
      <c r="R59" s="36"/>
      <c r="S59" s="37">
        <v>45780</v>
      </c>
      <c r="T59" s="38"/>
      <c r="U59" s="9">
        <f t="shared" si="15"/>
        <v>45415</v>
      </c>
      <c r="V59" s="6" t="s">
        <v>156</v>
      </c>
      <c r="W59" s="1">
        <f t="shared" ca="1" si="16"/>
        <v>-235</v>
      </c>
      <c r="X59" s="16" t="str">
        <f t="shared" ca="1" si="9"/>
        <v>NO</v>
      </c>
      <c r="Y59" s="12" t="str">
        <f t="shared" si="11"/>
        <v>NO</v>
      </c>
      <c r="Z59" s="14" t="s">
        <v>126</v>
      </c>
      <c r="AA59" s="15">
        <f t="shared" ca="1" si="10"/>
        <v>-235</v>
      </c>
      <c r="AB59" s="7">
        <f t="shared" si="12"/>
        <v>3</v>
      </c>
      <c r="AC59">
        <f t="shared" si="13"/>
        <v>5</v>
      </c>
      <c r="AD59">
        <f t="shared" si="14"/>
        <v>2025</v>
      </c>
    </row>
    <row r="60" spans="1:30" ht="18" x14ac:dyDescent="0.2">
      <c r="A60" s="27" t="s">
        <v>126</v>
      </c>
      <c r="B60" s="31"/>
      <c r="C60" s="27"/>
      <c r="D60" s="31"/>
      <c r="E60" s="27"/>
      <c r="F60" s="31"/>
      <c r="G60" s="27" t="s">
        <v>41</v>
      </c>
      <c r="H60" s="28"/>
      <c r="I60" s="29" t="s">
        <v>43</v>
      </c>
      <c r="J60" s="30"/>
      <c r="K60" s="29">
        <v>4877344</v>
      </c>
      <c r="L60" s="30"/>
      <c r="M60" s="32" t="s">
        <v>70</v>
      </c>
      <c r="N60" s="57"/>
      <c r="O60" s="33">
        <v>5.0000000000000001E-4</v>
      </c>
      <c r="P60" s="34"/>
      <c r="Q60" s="35" t="s">
        <v>287</v>
      </c>
      <c r="R60" s="36"/>
      <c r="S60" s="37">
        <v>46149</v>
      </c>
      <c r="T60" s="38"/>
      <c r="U60" s="9">
        <f>DATE(AD60-1,AC60,AB60)</f>
        <v>45784</v>
      </c>
      <c r="V60" s="6" t="s">
        <v>156</v>
      </c>
      <c r="W60" s="1">
        <f t="shared" ca="1" si="16"/>
        <v>134</v>
      </c>
      <c r="X60" s="16" t="str">
        <f t="shared" ca="1" si="9"/>
        <v>NO</v>
      </c>
      <c r="Y60" s="12" t="str">
        <f>IF(AND($Z$1&gt;=U60,$Z$1&lt;=S60),"OK","NO")</f>
        <v>OK</v>
      </c>
      <c r="Z60" s="14" t="s">
        <v>188</v>
      </c>
      <c r="AA60" s="15">
        <f t="shared" ca="1" si="10"/>
        <v>134</v>
      </c>
      <c r="AB60" s="7">
        <f>DAY(S60)</f>
        <v>7</v>
      </c>
      <c r="AC60">
        <f>MONTH(S60)</f>
        <v>5</v>
      </c>
      <c r="AD60">
        <f>YEAR(S60)</f>
        <v>2026</v>
      </c>
    </row>
    <row r="61" spans="1:30" ht="18" x14ac:dyDescent="0.2">
      <c r="A61" s="27" t="s">
        <v>188</v>
      </c>
      <c r="B61" s="31"/>
      <c r="C61" s="27"/>
      <c r="D61" s="31"/>
      <c r="E61" s="27"/>
      <c r="F61" s="31"/>
      <c r="G61" s="27" t="s">
        <v>41</v>
      </c>
      <c r="H61" s="28"/>
      <c r="I61" s="29" t="s">
        <v>43</v>
      </c>
      <c r="J61" s="30"/>
      <c r="K61" s="29">
        <v>4877347</v>
      </c>
      <c r="L61" s="30"/>
      <c r="M61" s="32" t="s">
        <v>70</v>
      </c>
      <c r="N61" s="57"/>
      <c r="O61" s="33">
        <v>5.0000000000000001E-4</v>
      </c>
      <c r="P61" s="34"/>
      <c r="Q61" s="55" t="s">
        <v>152</v>
      </c>
      <c r="R61" s="56"/>
      <c r="S61" s="37">
        <v>45000</v>
      </c>
      <c r="T61" s="38"/>
      <c r="U61" s="9">
        <f t="shared" si="15"/>
        <v>44635</v>
      </c>
      <c r="V61" s="6" t="s">
        <v>153</v>
      </c>
      <c r="W61" s="1">
        <f t="shared" ca="1" si="16"/>
        <v>-1015</v>
      </c>
      <c r="X61" s="16" t="str">
        <f t="shared" ca="1" si="9"/>
        <v>NO</v>
      </c>
      <c r="Y61" s="12" t="str">
        <f t="shared" si="11"/>
        <v>NO</v>
      </c>
      <c r="Z61" s="14" t="s">
        <v>126</v>
      </c>
      <c r="AA61" s="15">
        <f t="shared" ca="1" si="10"/>
        <v>-1015</v>
      </c>
      <c r="AB61" s="7">
        <f t="shared" si="12"/>
        <v>15</v>
      </c>
      <c r="AC61">
        <f t="shared" si="13"/>
        <v>3</v>
      </c>
      <c r="AD61">
        <f t="shared" si="14"/>
        <v>2023</v>
      </c>
    </row>
    <row r="62" spans="1:30" ht="18" x14ac:dyDescent="0.2">
      <c r="A62" s="27" t="s">
        <v>126</v>
      </c>
      <c r="B62" s="31"/>
      <c r="C62" s="27"/>
      <c r="D62" s="31"/>
      <c r="E62" s="27"/>
      <c r="F62" s="31"/>
      <c r="G62" s="27" t="s">
        <v>41</v>
      </c>
      <c r="H62" s="28"/>
      <c r="I62" s="29" t="s">
        <v>43</v>
      </c>
      <c r="J62" s="30"/>
      <c r="K62" s="29">
        <v>4877347</v>
      </c>
      <c r="L62" s="30"/>
      <c r="M62" s="32" t="s">
        <v>70</v>
      </c>
      <c r="N62" s="57"/>
      <c r="O62" s="33">
        <v>5.0000000000000001E-4</v>
      </c>
      <c r="P62" s="34"/>
      <c r="Q62" s="55" t="s">
        <v>151</v>
      </c>
      <c r="R62" s="56"/>
      <c r="S62" s="37">
        <v>45396</v>
      </c>
      <c r="T62" s="38"/>
      <c r="U62" s="9">
        <f t="shared" si="15"/>
        <v>45030</v>
      </c>
      <c r="V62" s="6" t="s">
        <v>153</v>
      </c>
      <c r="W62" s="1">
        <f t="shared" ca="1" si="16"/>
        <v>-619</v>
      </c>
      <c r="X62" s="16" t="str">
        <f t="shared" ca="1" si="9"/>
        <v>NO</v>
      </c>
      <c r="Y62" s="12" t="str">
        <f t="shared" si="11"/>
        <v>NO</v>
      </c>
      <c r="Z62" s="14" t="s">
        <v>126</v>
      </c>
      <c r="AA62" s="15">
        <f t="shared" ca="1" si="10"/>
        <v>-619</v>
      </c>
      <c r="AB62" s="7">
        <f t="shared" si="12"/>
        <v>14</v>
      </c>
      <c r="AC62">
        <f t="shared" si="13"/>
        <v>4</v>
      </c>
      <c r="AD62">
        <f t="shared" si="14"/>
        <v>2024</v>
      </c>
    </row>
    <row r="63" spans="1:30" ht="18" x14ac:dyDescent="0.2">
      <c r="A63" s="27" t="s">
        <v>126</v>
      </c>
      <c r="B63" s="31"/>
      <c r="C63" s="27"/>
      <c r="D63" s="31"/>
      <c r="E63" s="27"/>
      <c r="F63" s="31"/>
      <c r="G63" s="27" t="s">
        <v>41</v>
      </c>
      <c r="H63" s="28"/>
      <c r="I63" s="29" t="s">
        <v>43</v>
      </c>
      <c r="J63" s="30"/>
      <c r="K63" s="29">
        <v>4877347</v>
      </c>
      <c r="L63" s="30"/>
      <c r="M63" s="32" t="s">
        <v>70</v>
      </c>
      <c r="N63" s="57"/>
      <c r="O63" s="33">
        <v>5.0000000000000001E-4</v>
      </c>
      <c r="P63" s="34"/>
      <c r="Q63" s="35" t="s">
        <v>113</v>
      </c>
      <c r="R63" s="36"/>
      <c r="S63" s="37">
        <v>45780</v>
      </c>
      <c r="T63" s="38"/>
      <c r="U63" s="9">
        <f t="shared" si="15"/>
        <v>45415</v>
      </c>
      <c r="V63" s="6" t="s">
        <v>153</v>
      </c>
      <c r="W63" s="1">
        <f t="shared" ca="1" si="16"/>
        <v>-235</v>
      </c>
      <c r="X63" s="16" t="str">
        <f t="shared" ca="1" si="9"/>
        <v>NO</v>
      </c>
      <c r="Y63" s="12" t="str">
        <f t="shared" si="11"/>
        <v>NO</v>
      </c>
      <c r="Z63" s="14" t="s">
        <v>126</v>
      </c>
      <c r="AA63" s="15">
        <f t="shared" ca="1" si="10"/>
        <v>-235</v>
      </c>
      <c r="AB63" s="7">
        <f t="shared" si="12"/>
        <v>3</v>
      </c>
      <c r="AC63">
        <f t="shared" si="13"/>
        <v>5</v>
      </c>
      <c r="AD63">
        <f t="shared" si="14"/>
        <v>2025</v>
      </c>
    </row>
    <row r="64" spans="1:30" ht="18" x14ac:dyDescent="0.2">
      <c r="A64" s="27" t="s">
        <v>126</v>
      </c>
      <c r="B64" s="31"/>
      <c r="C64" s="27"/>
      <c r="D64" s="31"/>
      <c r="E64" s="27"/>
      <c r="F64" s="31"/>
      <c r="G64" s="27" t="s">
        <v>41</v>
      </c>
      <c r="H64" s="28"/>
      <c r="I64" s="29" t="s">
        <v>43</v>
      </c>
      <c r="J64" s="30"/>
      <c r="K64" s="29">
        <v>4877347</v>
      </c>
      <c r="L64" s="30"/>
      <c r="M64" s="32" t="s">
        <v>70</v>
      </c>
      <c r="N64" s="57"/>
      <c r="O64" s="33">
        <v>5.0000000000000001E-4</v>
      </c>
      <c r="P64" s="34"/>
      <c r="Q64" s="35" t="s">
        <v>286</v>
      </c>
      <c r="R64" s="36"/>
      <c r="S64" s="37">
        <v>46149</v>
      </c>
      <c r="T64" s="38"/>
      <c r="U64" s="9">
        <f>DATE(AD64-1,AC64,AB64)</f>
        <v>45784</v>
      </c>
      <c r="V64" s="6" t="s">
        <v>153</v>
      </c>
      <c r="W64" s="1">
        <f t="shared" ca="1" si="16"/>
        <v>134</v>
      </c>
      <c r="X64" s="16" t="str">
        <f t="shared" ca="1" si="9"/>
        <v>NO</v>
      </c>
      <c r="Y64" s="12" t="str">
        <f>IF(AND($Z$1&gt;=U64,$Z$1&lt;=S64),"OK","NO")</f>
        <v>OK</v>
      </c>
      <c r="Z64" s="14" t="s">
        <v>188</v>
      </c>
      <c r="AA64" s="15">
        <f t="shared" ca="1" si="10"/>
        <v>134</v>
      </c>
      <c r="AB64" s="7">
        <f>DAY(S64)</f>
        <v>7</v>
      </c>
      <c r="AC64">
        <f>MONTH(S64)</f>
        <v>5</v>
      </c>
      <c r="AD64">
        <f>YEAR(S64)</f>
        <v>2026</v>
      </c>
    </row>
    <row r="65" spans="1:30" ht="18" x14ac:dyDescent="0.2">
      <c r="A65" s="27" t="s">
        <v>126</v>
      </c>
      <c r="B65" s="31"/>
      <c r="C65" s="27"/>
      <c r="D65" s="31"/>
      <c r="E65" s="27"/>
      <c r="F65" s="31"/>
      <c r="G65" s="27" t="s">
        <v>41</v>
      </c>
      <c r="H65" s="28"/>
      <c r="I65" s="29" t="s">
        <v>43</v>
      </c>
      <c r="J65" s="30"/>
      <c r="K65" s="29">
        <v>5030184</v>
      </c>
      <c r="L65" s="30"/>
      <c r="M65" s="32" t="s">
        <v>69</v>
      </c>
      <c r="N65" s="30"/>
      <c r="O65" s="33">
        <v>5.0000000000000001E-4</v>
      </c>
      <c r="P65" s="34"/>
      <c r="Q65" s="35" t="s">
        <v>110</v>
      </c>
      <c r="R65" s="36"/>
      <c r="S65" s="37">
        <v>45507</v>
      </c>
      <c r="T65" s="38"/>
      <c r="U65" s="9">
        <f t="shared" si="15"/>
        <v>45141</v>
      </c>
      <c r="V65" s="6" t="s">
        <v>187</v>
      </c>
      <c r="W65" s="1">
        <f t="shared" ca="1" si="16"/>
        <v>-508</v>
      </c>
      <c r="X65" s="16" t="str">
        <f t="shared" ca="1" si="9"/>
        <v>NO</v>
      </c>
      <c r="Y65" s="12" t="str">
        <f t="shared" si="11"/>
        <v>NO</v>
      </c>
      <c r="Z65" s="14" t="s">
        <v>126</v>
      </c>
      <c r="AA65" s="15">
        <f t="shared" ca="1" si="10"/>
        <v>-508</v>
      </c>
      <c r="AB65" s="7">
        <f t="shared" si="12"/>
        <v>3</v>
      </c>
      <c r="AC65">
        <f t="shared" si="13"/>
        <v>8</v>
      </c>
      <c r="AD65">
        <f t="shared" si="14"/>
        <v>2024</v>
      </c>
    </row>
    <row r="66" spans="1:30" ht="18" x14ac:dyDescent="0.2">
      <c r="A66" s="27" t="s">
        <v>126</v>
      </c>
      <c r="B66" s="31"/>
      <c r="C66" s="27"/>
      <c r="D66" s="31"/>
      <c r="E66" s="27"/>
      <c r="F66" s="31"/>
      <c r="G66" s="27" t="s">
        <v>41</v>
      </c>
      <c r="H66" s="28"/>
      <c r="I66" s="29" t="s">
        <v>43</v>
      </c>
      <c r="J66" s="30"/>
      <c r="K66" s="29">
        <v>5030184</v>
      </c>
      <c r="L66" s="30"/>
      <c r="M66" s="32" t="s">
        <v>69</v>
      </c>
      <c r="N66" s="30"/>
      <c r="O66" s="33">
        <v>5.0000000000000001E-4</v>
      </c>
      <c r="P66" s="34"/>
      <c r="Q66" s="35" t="s">
        <v>244</v>
      </c>
      <c r="R66" s="36"/>
      <c r="S66" s="37">
        <v>45871</v>
      </c>
      <c r="T66" s="38"/>
      <c r="U66" s="9">
        <f>DATE(AD66-1,AC66,AB66)</f>
        <v>45506</v>
      </c>
      <c r="V66" s="6" t="s">
        <v>187</v>
      </c>
      <c r="W66" s="1">
        <f t="shared" ca="1" si="16"/>
        <v>-144</v>
      </c>
      <c r="X66" s="16" t="str">
        <f t="shared" ca="1" si="9"/>
        <v>SI</v>
      </c>
      <c r="Y66" s="12" t="str">
        <f>IF(AND($Z$1&gt;=U66,$Z$1&lt;=S66),"OK","NO")</f>
        <v>NO</v>
      </c>
      <c r="Z66" s="14" t="s">
        <v>188</v>
      </c>
      <c r="AA66" s="15">
        <f t="shared" ca="1" si="10"/>
        <v>-144</v>
      </c>
      <c r="AB66" s="7">
        <f>DAY(S66)</f>
        <v>2</v>
      </c>
      <c r="AC66">
        <f>MONTH(S66)</f>
        <v>8</v>
      </c>
      <c r="AD66">
        <f>YEAR(S66)</f>
        <v>2025</v>
      </c>
    </row>
    <row r="67" spans="1:30" ht="18" x14ac:dyDescent="0.2">
      <c r="A67" s="27" t="s">
        <v>126</v>
      </c>
      <c r="B67" s="31"/>
      <c r="C67" s="27"/>
      <c r="D67" s="31"/>
      <c r="E67" s="27"/>
      <c r="F67" s="31"/>
      <c r="G67" s="27" t="s">
        <v>41</v>
      </c>
      <c r="H67" s="28"/>
      <c r="I67" s="29" t="s">
        <v>43</v>
      </c>
      <c r="J67" s="30"/>
      <c r="K67" s="29">
        <v>5030195</v>
      </c>
      <c r="L67" s="30"/>
      <c r="M67" s="32" t="s">
        <v>69</v>
      </c>
      <c r="N67" s="30"/>
      <c r="O67" s="33">
        <v>5.0000000000000001E-4</v>
      </c>
      <c r="P67" s="34"/>
      <c r="Q67" s="35" t="s">
        <v>111</v>
      </c>
      <c r="R67" s="36"/>
      <c r="S67" s="37">
        <v>45507</v>
      </c>
      <c r="T67" s="38"/>
      <c r="U67" s="9">
        <f t="shared" si="15"/>
        <v>45141</v>
      </c>
      <c r="V67" s="6" t="s">
        <v>186</v>
      </c>
      <c r="W67" s="1">
        <f t="shared" ca="1" si="16"/>
        <v>-508</v>
      </c>
      <c r="X67" s="16" t="str">
        <f t="shared" ca="1" si="9"/>
        <v>NO</v>
      </c>
      <c r="Y67" s="12" t="str">
        <f t="shared" si="11"/>
        <v>NO</v>
      </c>
      <c r="Z67" s="14" t="s">
        <v>126</v>
      </c>
      <c r="AA67" s="15">
        <f t="shared" ca="1" si="10"/>
        <v>-508</v>
      </c>
      <c r="AB67" s="7">
        <f t="shared" si="12"/>
        <v>3</v>
      </c>
      <c r="AC67">
        <f t="shared" si="13"/>
        <v>8</v>
      </c>
      <c r="AD67">
        <f t="shared" si="14"/>
        <v>2024</v>
      </c>
    </row>
    <row r="68" spans="1:30" ht="18" x14ac:dyDescent="0.2">
      <c r="A68" s="27" t="s">
        <v>126</v>
      </c>
      <c r="B68" s="31"/>
      <c r="C68" s="27"/>
      <c r="D68" s="31"/>
      <c r="E68" s="27"/>
      <c r="F68" s="31"/>
      <c r="G68" s="27" t="s">
        <v>41</v>
      </c>
      <c r="H68" s="28"/>
      <c r="I68" s="29" t="s">
        <v>43</v>
      </c>
      <c r="J68" s="30"/>
      <c r="K68" s="29">
        <v>5030195</v>
      </c>
      <c r="L68" s="30"/>
      <c r="M68" s="32" t="s">
        <v>69</v>
      </c>
      <c r="N68" s="30"/>
      <c r="O68" s="33">
        <v>5.0000000000000001E-4</v>
      </c>
      <c r="P68" s="34"/>
      <c r="Q68" s="35" t="s">
        <v>245</v>
      </c>
      <c r="R68" s="36"/>
      <c r="S68" s="37">
        <v>45871</v>
      </c>
      <c r="T68" s="38"/>
      <c r="U68" s="9">
        <f>DATE(AD68-1,AC68,AB68)</f>
        <v>45506</v>
      </c>
      <c r="V68" s="6" t="s">
        <v>186</v>
      </c>
      <c r="W68" s="1">
        <f t="shared" ca="1" si="16"/>
        <v>-144</v>
      </c>
      <c r="X68" s="16" t="str">
        <f t="shared" ca="1" si="9"/>
        <v>SI</v>
      </c>
      <c r="Y68" s="12" t="str">
        <f>IF(AND($Z$1&gt;=U68,$Z$1&lt;=S68),"OK","NO")</f>
        <v>NO</v>
      </c>
      <c r="Z68" s="14" t="s">
        <v>188</v>
      </c>
      <c r="AA68" s="15">
        <f t="shared" ca="1" si="10"/>
        <v>-144</v>
      </c>
      <c r="AB68" s="7">
        <f>DAY(S68)</f>
        <v>2</v>
      </c>
      <c r="AC68">
        <f>MONTH(S68)</f>
        <v>8</v>
      </c>
      <c r="AD68">
        <f>YEAR(S68)</f>
        <v>2025</v>
      </c>
    </row>
    <row r="69" spans="1:30" ht="18" x14ac:dyDescent="0.2">
      <c r="A69" s="27" t="s">
        <v>126</v>
      </c>
      <c r="B69" s="31"/>
      <c r="C69" s="27"/>
      <c r="D69" s="31"/>
      <c r="E69" s="27"/>
      <c r="F69" s="31"/>
      <c r="G69" s="27" t="s">
        <v>42</v>
      </c>
      <c r="H69" s="28"/>
      <c r="I69" s="29" t="s">
        <v>7</v>
      </c>
      <c r="J69" s="30"/>
      <c r="K69" s="29">
        <v>3053150</v>
      </c>
      <c r="L69" s="30"/>
      <c r="M69" s="32" t="s">
        <v>44</v>
      </c>
      <c r="N69" s="57"/>
      <c r="O69" s="33">
        <v>6.9999999999999999E-4</v>
      </c>
      <c r="P69" s="34"/>
      <c r="Q69" s="35" t="s">
        <v>302</v>
      </c>
      <c r="R69" s="36"/>
      <c r="S69" s="37">
        <v>46190</v>
      </c>
      <c r="T69" s="38"/>
      <c r="U69" s="9">
        <f>DATE(AD69-1,AC69,AB69)</f>
        <v>45825</v>
      </c>
      <c r="V69" s="6" t="s">
        <v>303</v>
      </c>
      <c r="W69" s="1">
        <f t="shared" ca="1" si="16"/>
        <v>175</v>
      </c>
      <c r="X69" s="16" t="str">
        <f t="shared" ca="1" si="9"/>
        <v>NO</v>
      </c>
      <c r="Y69" s="12" t="str">
        <f>IF(AND($Z$1&gt;=U69,$Z$1&lt;=S69),"OK","NO")</f>
        <v>OK</v>
      </c>
      <c r="Z69" s="14" t="s">
        <v>188</v>
      </c>
      <c r="AA69" s="15">
        <f t="shared" ca="1" si="10"/>
        <v>175</v>
      </c>
      <c r="AB69" s="7">
        <f>DAY(S69)</f>
        <v>17</v>
      </c>
      <c r="AC69">
        <f>MONTH(S69)</f>
        <v>6</v>
      </c>
      <c r="AD69">
        <f>YEAR(S69)</f>
        <v>2026</v>
      </c>
    </row>
    <row r="70" spans="1:30" ht="18" x14ac:dyDescent="0.2">
      <c r="A70" s="27" t="s">
        <v>126</v>
      </c>
      <c r="B70" s="31"/>
      <c r="C70" s="27"/>
      <c r="D70" s="31"/>
      <c r="E70" s="27" t="s">
        <v>123</v>
      </c>
      <c r="F70" s="31"/>
      <c r="G70" s="27" t="s">
        <v>42</v>
      </c>
      <c r="H70" s="28"/>
      <c r="I70" s="29" t="s">
        <v>43</v>
      </c>
      <c r="J70" s="30"/>
      <c r="K70" s="29">
        <v>6283041</v>
      </c>
      <c r="L70" s="30"/>
      <c r="M70" s="32" t="s">
        <v>44</v>
      </c>
      <c r="N70" s="57"/>
      <c r="O70" s="33">
        <v>6.9999999999999999E-4</v>
      </c>
      <c r="P70" s="34"/>
      <c r="Q70" s="35" t="s">
        <v>247</v>
      </c>
      <c r="R70" s="36"/>
      <c r="S70" s="37">
        <v>45690</v>
      </c>
      <c r="T70" s="38"/>
      <c r="U70" s="9">
        <f t="shared" si="15"/>
        <v>45324</v>
      </c>
      <c r="V70" s="6" t="s">
        <v>246</v>
      </c>
      <c r="W70" s="1">
        <f t="shared" ca="1" si="16"/>
        <v>-325</v>
      </c>
      <c r="X70" s="16" t="str">
        <f t="shared" ca="1" si="9"/>
        <v>NO</v>
      </c>
      <c r="Y70" s="12" t="str">
        <f t="shared" si="11"/>
        <v>NO</v>
      </c>
      <c r="Z70" s="14" t="s">
        <v>126</v>
      </c>
      <c r="AA70" s="15">
        <f t="shared" ca="1" si="10"/>
        <v>-325</v>
      </c>
      <c r="AB70" s="7">
        <f t="shared" si="12"/>
        <v>2</v>
      </c>
      <c r="AC70">
        <f t="shared" si="13"/>
        <v>2</v>
      </c>
      <c r="AD70">
        <f t="shared" si="14"/>
        <v>2025</v>
      </c>
    </row>
    <row r="71" spans="1:30" ht="18" x14ac:dyDescent="0.2">
      <c r="A71" s="27" t="s">
        <v>126</v>
      </c>
      <c r="B71" s="31"/>
      <c r="C71" s="27"/>
      <c r="D71" s="31"/>
      <c r="E71" s="27" t="s">
        <v>123</v>
      </c>
      <c r="F71" s="31"/>
      <c r="G71" s="27" t="s">
        <v>42</v>
      </c>
      <c r="H71" s="28"/>
      <c r="I71" s="29" t="s">
        <v>43</v>
      </c>
      <c r="J71" s="30"/>
      <c r="K71" s="29">
        <v>6283041</v>
      </c>
      <c r="L71" s="30"/>
      <c r="M71" s="32" t="s">
        <v>44</v>
      </c>
      <c r="N71" s="57"/>
      <c r="O71" s="33">
        <v>6.9999999999999999E-4</v>
      </c>
      <c r="P71" s="34"/>
      <c r="Q71" s="35" t="s">
        <v>255</v>
      </c>
      <c r="R71" s="36"/>
      <c r="S71" s="37">
        <v>46066</v>
      </c>
      <c r="T71" s="38"/>
      <c r="U71" s="9">
        <f>DATE(AD71-1,AC71,AB71)</f>
        <v>45701</v>
      </c>
      <c r="V71" s="6" t="s">
        <v>246</v>
      </c>
      <c r="W71" s="1">
        <f t="shared" ca="1" si="16"/>
        <v>51</v>
      </c>
      <c r="X71" s="16" t="str">
        <f t="shared" ref="X71:X102" ca="1" si="17">IF(AND(AA71&gt;-1000,AA71&lt;60,Z71="NO"),"SI","NO")</f>
        <v>SI</v>
      </c>
      <c r="Y71" s="12" t="str">
        <f>IF(AND($Z$1&gt;=U71,$Z$1&lt;=S71),"OK","NO")</f>
        <v>OK</v>
      </c>
      <c r="Z71" s="14" t="s">
        <v>188</v>
      </c>
      <c r="AA71" s="15">
        <f t="shared" ref="AA71:AA102" ca="1" si="18">S71-$G$1</f>
        <v>51</v>
      </c>
      <c r="AB71" s="7">
        <f>DAY(S71)</f>
        <v>13</v>
      </c>
      <c r="AC71">
        <f>MONTH(S71)</f>
        <v>2</v>
      </c>
      <c r="AD71">
        <f>YEAR(S71)</f>
        <v>2026</v>
      </c>
    </row>
    <row r="72" spans="1:30" ht="18" x14ac:dyDescent="0.2">
      <c r="A72" s="27" t="s">
        <v>126</v>
      </c>
      <c r="B72" s="31"/>
      <c r="C72" s="27"/>
      <c r="D72" s="31"/>
      <c r="E72" s="27" t="s">
        <v>123</v>
      </c>
      <c r="F72" s="31"/>
      <c r="G72" s="27" t="s">
        <v>42</v>
      </c>
      <c r="H72" s="28"/>
      <c r="I72" s="29" t="s">
        <v>43</v>
      </c>
      <c r="J72" s="30"/>
      <c r="K72" s="29">
        <v>6367032</v>
      </c>
      <c r="L72" s="30"/>
      <c r="M72" s="32" t="s">
        <v>44</v>
      </c>
      <c r="N72" s="57"/>
      <c r="O72" s="33">
        <v>6.9999999999999999E-4</v>
      </c>
      <c r="P72" s="34"/>
      <c r="Q72" s="35" t="s">
        <v>254</v>
      </c>
      <c r="R72" s="36"/>
      <c r="S72" s="37">
        <v>45690</v>
      </c>
      <c r="T72" s="38"/>
      <c r="U72" s="9">
        <f t="shared" si="15"/>
        <v>45324</v>
      </c>
      <c r="V72" s="6" t="s">
        <v>252</v>
      </c>
      <c r="W72" s="1">
        <f t="shared" ca="1" si="16"/>
        <v>-325</v>
      </c>
      <c r="X72" s="16" t="str">
        <f t="shared" ca="1" si="17"/>
        <v>NO</v>
      </c>
      <c r="Y72" s="12" t="str">
        <f t="shared" si="11"/>
        <v>NO</v>
      </c>
      <c r="Z72" s="14" t="s">
        <v>126</v>
      </c>
      <c r="AA72" s="15">
        <f t="shared" ca="1" si="18"/>
        <v>-325</v>
      </c>
      <c r="AB72" s="7">
        <f t="shared" si="12"/>
        <v>2</v>
      </c>
      <c r="AC72">
        <f t="shared" si="13"/>
        <v>2</v>
      </c>
      <c r="AD72">
        <f t="shared" si="14"/>
        <v>2025</v>
      </c>
    </row>
    <row r="73" spans="1:30" ht="18" x14ac:dyDescent="0.2">
      <c r="A73" s="27" t="s">
        <v>126</v>
      </c>
      <c r="B73" s="31"/>
      <c r="C73" s="27"/>
      <c r="D73" s="31"/>
      <c r="E73" s="27" t="s">
        <v>123</v>
      </c>
      <c r="F73" s="31"/>
      <c r="G73" s="27" t="s">
        <v>42</v>
      </c>
      <c r="H73" s="28"/>
      <c r="I73" s="29" t="s">
        <v>43</v>
      </c>
      <c r="J73" s="30"/>
      <c r="K73" s="29">
        <v>6367032</v>
      </c>
      <c r="L73" s="30"/>
      <c r="M73" s="32" t="s">
        <v>44</v>
      </c>
      <c r="N73" s="57"/>
      <c r="O73" s="33">
        <v>6.9999999999999999E-4</v>
      </c>
      <c r="P73" s="34"/>
      <c r="Q73" s="29" t="s">
        <v>253</v>
      </c>
      <c r="R73" s="30"/>
      <c r="S73" s="37">
        <v>46066</v>
      </c>
      <c r="T73" s="38"/>
      <c r="U73" s="9">
        <f>DATE(AD73-1,AC73,AB73)</f>
        <v>45701</v>
      </c>
      <c r="V73" s="6" t="s">
        <v>252</v>
      </c>
      <c r="W73" s="1">
        <f t="shared" ca="1" si="16"/>
        <v>51</v>
      </c>
      <c r="X73" s="16" t="str">
        <f t="shared" ca="1" si="17"/>
        <v>SI</v>
      </c>
      <c r="Y73" s="12" t="str">
        <f>IF(AND($Z$1&gt;=U73,$Z$1&lt;=S73),"OK","NO")</f>
        <v>OK</v>
      </c>
      <c r="Z73" s="14" t="s">
        <v>188</v>
      </c>
      <c r="AA73" s="15">
        <f t="shared" ca="1" si="18"/>
        <v>51</v>
      </c>
      <c r="AB73" s="7">
        <f>DAY(S73)</f>
        <v>13</v>
      </c>
      <c r="AC73">
        <f>MONTH(S73)</f>
        <v>2</v>
      </c>
      <c r="AD73">
        <f>YEAR(S73)</f>
        <v>2026</v>
      </c>
    </row>
    <row r="74" spans="1:30" ht="22.5" x14ac:dyDescent="0.2">
      <c r="A74" s="27" t="s">
        <v>188</v>
      </c>
      <c r="B74" s="31"/>
      <c r="C74" s="27"/>
      <c r="D74" s="31"/>
      <c r="E74" s="27"/>
      <c r="F74" s="31"/>
      <c r="G74" s="27" t="s">
        <v>41</v>
      </c>
      <c r="H74" s="28"/>
      <c r="I74" s="29" t="s">
        <v>7</v>
      </c>
      <c r="J74" s="30"/>
      <c r="K74" s="29" t="s">
        <v>18</v>
      </c>
      <c r="L74" s="30"/>
      <c r="M74" s="32" t="s">
        <v>19</v>
      </c>
      <c r="N74" s="30"/>
      <c r="O74" s="33">
        <v>1E-3</v>
      </c>
      <c r="P74" s="34"/>
      <c r="Q74" s="29" t="s">
        <v>211</v>
      </c>
      <c r="R74" s="30"/>
      <c r="S74" s="37">
        <v>45055</v>
      </c>
      <c r="T74" s="38"/>
      <c r="U74" s="9">
        <f t="shared" si="15"/>
        <v>44690</v>
      </c>
      <c r="V74" s="5" t="s">
        <v>146</v>
      </c>
      <c r="W74" s="1">
        <f t="shared" ca="1" si="16"/>
        <v>-960</v>
      </c>
      <c r="X74" s="16" t="str">
        <f t="shared" ca="1" si="17"/>
        <v>NO</v>
      </c>
      <c r="Y74" s="12" t="str">
        <f t="shared" si="11"/>
        <v>NO</v>
      </c>
      <c r="Z74" s="14" t="s">
        <v>126</v>
      </c>
      <c r="AA74" s="15">
        <f t="shared" ca="1" si="18"/>
        <v>-960</v>
      </c>
      <c r="AB74" s="7">
        <f t="shared" si="12"/>
        <v>9</v>
      </c>
      <c r="AC74">
        <f t="shared" si="13"/>
        <v>5</v>
      </c>
      <c r="AD74">
        <f t="shared" si="14"/>
        <v>2023</v>
      </c>
    </row>
    <row r="75" spans="1:30" ht="22.5" x14ac:dyDescent="0.2">
      <c r="A75" s="27" t="s">
        <v>188</v>
      </c>
      <c r="B75" s="31"/>
      <c r="C75" s="27"/>
      <c r="D75" s="31"/>
      <c r="E75" s="27"/>
      <c r="F75" s="31"/>
      <c r="G75" s="27" t="s">
        <v>41</v>
      </c>
      <c r="H75" s="28"/>
      <c r="I75" s="29" t="s">
        <v>7</v>
      </c>
      <c r="J75" s="30"/>
      <c r="K75" s="29" t="s">
        <v>18</v>
      </c>
      <c r="L75" s="30"/>
      <c r="M75" s="32" t="s">
        <v>19</v>
      </c>
      <c r="N75" s="30"/>
      <c r="O75" s="33">
        <v>1E-3</v>
      </c>
      <c r="P75" s="34"/>
      <c r="Q75" s="29" t="s">
        <v>85</v>
      </c>
      <c r="R75" s="30"/>
      <c r="S75" s="37">
        <v>45422</v>
      </c>
      <c r="T75" s="38"/>
      <c r="U75" s="9">
        <f t="shared" si="15"/>
        <v>45056</v>
      </c>
      <c r="V75" s="5" t="s">
        <v>146</v>
      </c>
      <c r="W75" s="1">
        <f t="shared" ca="1" si="16"/>
        <v>-593</v>
      </c>
      <c r="X75" s="16" t="str">
        <f t="shared" ca="1" si="17"/>
        <v>NO</v>
      </c>
      <c r="Y75" s="12" t="str">
        <f t="shared" si="11"/>
        <v>NO</v>
      </c>
      <c r="Z75" s="14" t="s">
        <v>126</v>
      </c>
      <c r="AA75" s="15">
        <f t="shared" ca="1" si="18"/>
        <v>-593</v>
      </c>
      <c r="AB75" s="7">
        <f t="shared" si="12"/>
        <v>10</v>
      </c>
      <c r="AC75">
        <f t="shared" si="13"/>
        <v>5</v>
      </c>
      <c r="AD75">
        <f t="shared" si="14"/>
        <v>2024</v>
      </c>
    </row>
    <row r="76" spans="1:30" ht="18" x14ac:dyDescent="0.2">
      <c r="A76" s="27" t="s">
        <v>126</v>
      </c>
      <c r="B76" s="31"/>
      <c r="C76" s="27"/>
      <c r="D76" s="31"/>
      <c r="E76" s="27"/>
      <c r="F76" s="31"/>
      <c r="G76" s="27" t="s">
        <v>41</v>
      </c>
      <c r="H76" s="28"/>
      <c r="I76" s="29" t="s">
        <v>7</v>
      </c>
      <c r="J76" s="30"/>
      <c r="K76" s="29" t="s">
        <v>18</v>
      </c>
      <c r="L76" s="30"/>
      <c r="M76" s="32" t="s">
        <v>19</v>
      </c>
      <c r="N76" s="30"/>
      <c r="O76" s="33">
        <v>1E-3</v>
      </c>
      <c r="P76" s="34"/>
      <c r="Q76" s="35" t="s">
        <v>212</v>
      </c>
      <c r="R76" s="36"/>
      <c r="S76" s="37">
        <v>45798</v>
      </c>
      <c r="T76" s="38"/>
      <c r="U76" s="9">
        <f t="shared" si="15"/>
        <v>45433</v>
      </c>
      <c r="V76" s="22" t="s">
        <v>263</v>
      </c>
      <c r="W76" s="1">
        <f t="shared" ca="1" si="16"/>
        <v>-217</v>
      </c>
      <c r="X76" s="16" t="str">
        <f t="shared" ca="1" si="17"/>
        <v>SI</v>
      </c>
      <c r="Y76" s="12" t="str">
        <f t="shared" si="11"/>
        <v>NO</v>
      </c>
      <c r="Z76" s="14" t="s">
        <v>188</v>
      </c>
      <c r="AA76" s="15">
        <f t="shared" ca="1" si="18"/>
        <v>-217</v>
      </c>
      <c r="AB76" s="7">
        <f t="shared" si="12"/>
        <v>21</v>
      </c>
      <c r="AC76">
        <f t="shared" si="13"/>
        <v>5</v>
      </c>
      <c r="AD76">
        <f t="shared" si="14"/>
        <v>2025</v>
      </c>
    </row>
    <row r="77" spans="1:30" ht="18" x14ac:dyDescent="0.2">
      <c r="A77" s="27" t="s">
        <v>188</v>
      </c>
      <c r="B77" s="31"/>
      <c r="C77" s="27"/>
      <c r="D77" s="31"/>
      <c r="E77" s="27"/>
      <c r="F77" s="31"/>
      <c r="G77" s="27" t="s">
        <v>41</v>
      </c>
      <c r="H77" s="28"/>
      <c r="I77" s="29" t="s">
        <v>28</v>
      </c>
      <c r="J77" s="30"/>
      <c r="K77" s="29" t="s">
        <v>33</v>
      </c>
      <c r="L77" s="30"/>
      <c r="M77" s="32" t="s">
        <v>32</v>
      </c>
      <c r="N77" s="30"/>
      <c r="O77" s="33">
        <v>2E-3</v>
      </c>
      <c r="P77" s="34"/>
      <c r="Q77" s="29" t="s">
        <v>208</v>
      </c>
      <c r="R77" s="30"/>
      <c r="S77" s="37">
        <v>45055</v>
      </c>
      <c r="T77" s="38"/>
      <c r="U77" s="9">
        <f t="shared" si="15"/>
        <v>44690</v>
      </c>
      <c r="V77" s="6" t="s">
        <v>210</v>
      </c>
      <c r="W77" s="1">
        <f t="shared" ca="1" si="16"/>
        <v>-960</v>
      </c>
      <c r="X77" s="16" t="str">
        <f t="shared" ca="1" si="17"/>
        <v>NO</v>
      </c>
      <c r="Y77" s="12" t="str">
        <f t="shared" si="11"/>
        <v>NO</v>
      </c>
      <c r="Z77" s="14" t="s">
        <v>126</v>
      </c>
      <c r="AA77" s="15">
        <f t="shared" ca="1" si="18"/>
        <v>-960</v>
      </c>
      <c r="AB77" s="7">
        <f t="shared" si="12"/>
        <v>9</v>
      </c>
      <c r="AC77">
        <f t="shared" si="13"/>
        <v>5</v>
      </c>
      <c r="AD77">
        <f t="shared" si="14"/>
        <v>2023</v>
      </c>
    </row>
    <row r="78" spans="1:30" ht="18" x14ac:dyDescent="0.2">
      <c r="A78" s="27" t="s">
        <v>188</v>
      </c>
      <c r="B78" s="31"/>
      <c r="C78" s="27"/>
      <c r="D78" s="31"/>
      <c r="E78" s="27"/>
      <c r="F78" s="31"/>
      <c r="G78" s="27" t="s">
        <v>41</v>
      </c>
      <c r="H78" s="28"/>
      <c r="I78" s="29" t="s">
        <v>28</v>
      </c>
      <c r="J78" s="30"/>
      <c r="K78" s="29" t="s">
        <v>33</v>
      </c>
      <c r="L78" s="30"/>
      <c r="M78" s="32" t="s">
        <v>32</v>
      </c>
      <c r="N78" s="30"/>
      <c r="O78" s="33">
        <v>2E-3</v>
      </c>
      <c r="P78" s="34"/>
      <c r="Q78" s="29" t="s">
        <v>89</v>
      </c>
      <c r="R78" s="30"/>
      <c r="S78" s="37">
        <v>45058</v>
      </c>
      <c r="T78" s="38"/>
      <c r="U78" s="9">
        <f t="shared" si="15"/>
        <v>44693</v>
      </c>
      <c r="V78" s="6" t="s">
        <v>210</v>
      </c>
      <c r="W78" s="1">
        <f t="shared" ca="1" si="16"/>
        <v>-957</v>
      </c>
      <c r="X78" s="16" t="str">
        <f t="shared" ca="1" si="17"/>
        <v>NO</v>
      </c>
      <c r="Y78" s="12" t="str">
        <f t="shared" si="11"/>
        <v>NO</v>
      </c>
      <c r="Z78" s="14" t="s">
        <v>126</v>
      </c>
      <c r="AA78" s="15">
        <f t="shared" ca="1" si="18"/>
        <v>-957</v>
      </c>
      <c r="AB78" s="7">
        <f t="shared" si="12"/>
        <v>12</v>
      </c>
      <c r="AC78">
        <f t="shared" si="13"/>
        <v>5</v>
      </c>
      <c r="AD78">
        <f t="shared" si="14"/>
        <v>2023</v>
      </c>
    </row>
    <row r="79" spans="1:30" ht="18" x14ac:dyDescent="0.2">
      <c r="A79" s="27" t="s">
        <v>126</v>
      </c>
      <c r="B79" s="31"/>
      <c r="C79" s="27"/>
      <c r="D79" s="31"/>
      <c r="E79" s="27"/>
      <c r="F79" s="31"/>
      <c r="G79" s="27" t="s">
        <v>41</v>
      </c>
      <c r="H79" s="28"/>
      <c r="I79" s="29" t="s">
        <v>28</v>
      </c>
      <c r="J79" s="30"/>
      <c r="K79" s="29" t="s">
        <v>33</v>
      </c>
      <c r="L79" s="30"/>
      <c r="M79" s="32" t="s">
        <v>32</v>
      </c>
      <c r="N79" s="30"/>
      <c r="O79" s="33">
        <v>2E-3</v>
      </c>
      <c r="P79" s="34"/>
      <c r="Q79" s="35" t="s">
        <v>209</v>
      </c>
      <c r="R79" s="36"/>
      <c r="S79" s="37">
        <v>45798</v>
      </c>
      <c r="T79" s="38"/>
      <c r="U79" s="9">
        <f t="shared" si="15"/>
        <v>45433</v>
      </c>
      <c r="V79" s="6" t="s">
        <v>210</v>
      </c>
      <c r="W79" s="1">
        <f t="shared" ca="1" si="16"/>
        <v>-217</v>
      </c>
      <c r="X79" s="16" t="str">
        <f t="shared" ca="1" si="17"/>
        <v>SI</v>
      </c>
      <c r="Y79" s="12" t="str">
        <f t="shared" si="11"/>
        <v>NO</v>
      </c>
      <c r="Z79" s="14" t="s">
        <v>188</v>
      </c>
      <c r="AA79" s="15">
        <f t="shared" ca="1" si="18"/>
        <v>-217</v>
      </c>
      <c r="AB79" s="7">
        <f t="shared" si="12"/>
        <v>21</v>
      </c>
      <c r="AC79">
        <f t="shared" si="13"/>
        <v>5</v>
      </c>
      <c r="AD79">
        <f t="shared" si="14"/>
        <v>2025</v>
      </c>
    </row>
    <row r="80" spans="1:30" ht="18" x14ac:dyDescent="0.2">
      <c r="A80" s="27" t="s">
        <v>188</v>
      </c>
      <c r="B80" s="31"/>
      <c r="C80" s="27"/>
      <c r="D80" s="31"/>
      <c r="E80" s="27"/>
      <c r="F80" s="31"/>
      <c r="G80" s="27" t="s">
        <v>41</v>
      </c>
      <c r="H80" s="28"/>
      <c r="I80" s="29" t="s">
        <v>7</v>
      </c>
      <c r="J80" s="30"/>
      <c r="K80" s="29" t="s">
        <v>23</v>
      </c>
      <c r="L80" s="30"/>
      <c r="M80" s="32" t="s">
        <v>20</v>
      </c>
      <c r="N80" s="30"/>
      <c r="O80" s="33">
        <v>1E-3</v>
      </c>
      <c r="P80" s="34"/>
      <c r="Q80" s="29" t="s">
        <v>229</v>
      </c>
      <c r="R80" s="30"/>
      <c r="S80" s="37">
        <v>45055</v>
      </c>
      <c r="T80" s="38"/>
      <c r="U80" s="9">
        <f>DATE(AD80-1,AC80,AB80)</f>
        <v>44690</v>
      </c>
      <c r="V80" s="22" t="s">
        <v>264</v>
      </c>
      <c r="W80" s="1">
        <f t="shared" ref="W80:W111" ca="1" si="19">S80-$G$1</f>
        <v>-960</v>
      </c>
      <c r="X80" s="16" t="str">
        <f t="shared" ca="1" si="17"/>
        <v>NO</v>
      </c>
      <c r="Y80" s="12" t="str">
        <f>IF(AND($Z$1&gt;=U80,$Z$1&lt;=S80),"OK","NO")</f>
        <v>NO</v>
      </c>
      <c r="Z80" s="14" t="s">
        <v>126</v>
      </c>
      <c r="AA80" s="15">
        <f t="shared" ca="1" si="18"/>
        <v>-960</v>
      </c>
      <c r="AB80" s="7">
        <f>DAY(S80)</f>
        <v>9</v>
      </c>
      <c r="AC80">
        <f>MONTH(S80)</f>
        <v>5</v>
      </c>
      <c r="AD80">
        <f>YEAR(S80)</f>
        <v>2023</v>
      </c>
    </row>
    <row r="81" spans="1:30" ht="18" x14ac:dyDescent="0.2">
      <c r="A81" s="27" t="s">
        <v>188</v>
      </c>
      <c r="B81" s="31"/>
      <c r="C81" s="27"/>
      <c r="D81" s="31"/>
      <c r="E81" s="27"/>
      <c r="F81" s="31"/>
      <c r="G81" s="27" t="s">
        <v>41</v>
      </c>
      <c r="H81" s="28"/>
      <c r="I81" s="29" t="s">
        <v>7</v>
      </c>
      <c r="J81" s="30"/>
      <c r="K81" s="29" t="s">
        <v>23</v>
      </c>
      <c r="L81" s="30"/>
      <c r="M81" s="32" t="s">
        <v>20</v>
      </c>
      <c r="N81" s="30"/>
      <c r="O81" s="33">
        <v>1E-3</v>
      </c>
      <c r="P81" s="34"/>
      <c r="Q81" s="29" t="s">
        <v>88</v>
      </c>
      <c r="R81" s="30"/>
      <c r="S81" s="37">
        <v>45422</v>
      </c>
      <c r="T81" s="38"/>
      <c r="U81" s="9">
        <f t="shared" si="15"/>
        <v>45056</v>
      </c>
      <c r="V81" s="22" t="s">
        <v>264</v>
      </c>
      <c r="W81" s="1">
        <f t="shared" ca="1" si="19"/>
        <v>-593</v>
      </c>
      <c r="X81" s="16" t="str">
        <f t="shared" ca="1" si="17"/>
        <v>NO</v>
      </c>
      <c r="Y81" s="12" t="str">
        <f t="shared" si="11"/>
        <v>NO</v>
      </c>
      <c r="Z81" s="14" t="s">
        <v>126</v>
      </c>
      <c r="AA81" s="15">
        <f t="shared" ca="1" si="18"/>
        <v>-593</v>
      </c>
      <c r="AB81" s="7">
        <f t="shared" si="12"/>
        <v>10</v>
      </c>
      <c r="AC81">
        <f t="shared" si="13"/>
        <v>5</v>
      </c>
      <c r="AD81">
        <f t="shared" si="14"/>
        <v>2024</v>
      </c>
    </row>
    <row r="82" spans="1:30" ht="18" x14ac:dyDescent="0.2">
      <c r="A82" s="27" t="s">
        <v>126</v>
      </c>
      <c r="B82" s="31"/>
      <c r="C82" s="27"/>
      <c r="D82" s="31"/>
      <c r="E82" s="27"/>
      <c r="F82" s="31"/>
      <c r="G82" s="27" t="s">
        <v>41</v>
      </c>
      <c r="H82" s="28"/>
      <c r="I82" s="29" t="s">
        <v>7</v>
      </c>
      <c r="J82" s="30"/>
      <c r="K82" s="29" t="s">
        <v>23</v>
      </c>
      <c r="L82" s="30"/>
      <c r="M82" s="32" t="s">
        <v>20</v>
      </c>
      <c r="N82" s="30"/>
      <c r="O82" s="33">
        <v>1E-3</v>
      </c>
      <c r="P82" s="34"/>
      <c r="Q82" s="35" t="s">
        <v>230</v>
      </c>
      <c r="R82" s="36"/>
      <c r="S82" s="37">
        <v>45800</v>
      </c>
      <c r="T82" s="38"/>
      <c r="U82" s="9">
        <f>DATE(AD82-1,AC82,AB82)</f>
        <v>45435</v>
      </c>
      <c r="V82" s="22" t="s">
        <v>264</v>
      </c>
      <c r="W82" s="1">
        <f t="shared" ca="1" si="19"/>
        <v>-215</v>
      </c>
      <c r="X82" s="16" t="str">
        <f t="shared" ca="1" si="17"/>
        <v>SI</v>
      </c>
      <c r="Y82" s="12" t="str">
        <f>IF(AND($Z$1&gt;=U82,$Z$1&lt;=S82),"OK","NO")</f>
        <v>NO</v>
      </c>
      <c r="Z82" s="14" t="s">
        <v>188</v>
      </c>
      <c r="AA82" s="15">
        <f t="shared" ca="1" si="18"/>
        <v>-215</v>
      </c>
      <c r="AB82" s="7">
        <f>DAY(S82)</f>
        <v>23</v>
      </c>
      <c r="AC82">
        <f>MONTH(S82)</f>
        <v>5</v>
      </c>
      <c r="AD82">
        <f>YEAR(S82)</f>
        <v>2025</v>
      </c>
    </row>
    <row r="83" spans="1:30" ht="18" x14ac:dyDescent="0.2">
      <c r="A83" s="27" t="s">
        <v>188</v>
      </c>
      <c r="B83" s="31"/>
      <c r="C83" s="27"/>
      <c r="D83" s="31"/>
      <c r="E83" s="27"/>
      <c r="F83" s="31"/>
      <c r="G83" s="27" t="s">
        <v>41</v>
      </c>
      <c r="H83" s="28"/>
      <c r="I83" s="29" t="s">
        <v>28</v>
      </c>
      <c r="J83" s="30"/>
      <c r="K83" s="29" t="s">
        <v>29</v>
      </c>
      <c r="L83" s="30"/>
      <c r="M83" s="32" t="s">
        <v>30</v>
      </c>
      <c r="N83" s="57"/>
      <c r="O83" s="33">
        <v>2E-3</v>
      </c>
      <c r="P83" s="34"/>
      <c r="Q83" s="29" t="s">
        <v>231</v>
      </c>
      <c r="R83" s="30"/>
      <c r="S83" s="37">
        <v>45055</v>
      </c>
      <c r="T83" s="38"/>
      <c r="U83" s="9">
        <f>DATE(AD83-1,AC83,AB83)</f>
        <v>44690</v>
      </c>
      <c r="V83" s="6" t="s">
        <v>233</v>
      </c>
      <c r="W83" s="1">
        <f t="shared" ca="1" si="19"/>
        <v>-960</v>
      </c>
      <c r="X83" s="16" t="str">
        <f t="shared" ca="1" si="17"/>
        <v>NO</v>
      </c>
      <c r="Y83" s="12" t="str">
        <f>IF(AND($Z$1&gt;=U83,$Z$1&lt;=S83),"OK","NO")</f>
        <v>NO</v>
      </c>
      <c r="Z83" s="14" t="s">
        <v>126</v>
      </c>
      <c r="AA83" s="15">
        <f t="shared" ca="1" si="18"/>
        <v>-960</v>
      </c>
      <c r="AB83" s="7">
        <f>DAY(S83)</f>
        <v>9</v>
      </c>
      <c r="AC83">
        <f>MONTH(S83)</f>
        <v>5</v>
      </c>
      <c r="AD83">
        <f>YEAR(S83)</f>
        <v>2023</v>
      </c>
    </row>
    <row r="84" spans="1:30" ht="18" x14ac:dyDescent="0.2">
      <c r="A84" s="27" t="s">
        <v>188</v>
      </c>
      <c r="B84" s="31"/>
      <c r="C84" s="27"/>
      <c r="D84" s="31"/>
      <c r="E84" s="27"/>
      <c r="F84" s="31"/>
      <c r="G84" s="27" t="s">
        <v>41</v>
      </c>
      <c r="H84" s="28"/>
      <c r="I84" s="29" t="s">
        <v>28</v>
      </c>
      <c r="J84" s="30"/>
      <c r="K84" s="29" t="s">
        <v>29</v>
      </c>
      <c r="L84" s="30"/>
      <c r="M84" s="32" t="s">
        <v>30</v>
      </c>
      <c r="N84" s="57"/>
      <c r="O84" s="33">
        <v>2E-3</v>
      </c>
      <c r="P84" s="34"/>
      <c r="Q84" s="29" t="s">
        <v>94</v>
      </c>
      <c r="R84" s="30"/>
      <c r="S84" s="37">
        <v>45422</v>
      </c>
      <c r="T84" s="38"/>
      <c r="U84" s="9">
        <f t="shared" si="15"/>
        <v>45056</v>
      </c>
      <c r="V84" s="6" t="s">
        <v>233</v>
      </c>
      <c r="W84" s="1">
        <f t="shared" ca="1" si="19"/>
        <v>-593</v>
      </c>
      <c r="X84" s="16" t="str">
        <f t="shared" ca="1" si="17"/>
        <v>NO</v>
      </c>
      <c r="Y84" s="12" t="str">
        <f t="shared" si="11"/>
        <v>NO</v>
      </c>
      <c r="Z84" s="14" t="s">
        <v>126</v>
      </c>
      <c r="AA84" s="15">
        <f t="shared" ca="1" si="18"/>
        <v>-593</v>
      </c>
      <c r="AB84" s="7">
        <f t="shared" si="12"/>
        <v>10</v>
      </c>
      <c r="AC84">
        <f t="shared" si="13"/>
        <v>5</v>
      </c>
      <c r="AD84">
        <f t="shared" si="14"/>
        <v>2024</v>
      </c>
    </row>
    <row r="85" spans="1:30" ht="18" x14ac:dyDescent="0.2">
      <c r="A85" s="27" t="s">
        <v>126</v>
      </c>
      <c r="B85" s="31"/>
      <c r="C85" s="27"/>
      <c r="D85" s="31"/>
      <c r="G85" s="27" t="s">
        <v>41</v>
      </c>
      <c r="H85" s="28"/>
      <c r="I85" s="29" t="s">
        <v>28</v>
      </c>
      <c r="J85" s="30"/>
      <c r="K85" s="29" t="s">
        <v>29</v>
      </c>
      <c r="L85" s="30"/>
      <c r="M85" s="32" t="s">
        <v>30</v>
      </c>
      <c r="N85" s="57"/>
      <c r="O85" s="33">
        <v>2E-3</v>
      </c>
      <c r="P85" s="34"/>
      <c r="Q85" s="35" t="s">
        <v>232</v>
      </c>
      <c r="R85" s="36"/>
      <c r="S85" s="37">
        <v>45800</v>
      </c>
      <c r="T85" s="38"/>
      <c r="U85" s="9">
        <f>DATE(AD85-1,AC85,AB85)</f>
        <v>45435</v>
      </c>
      <c r="V85" s="6" t="s">
        <v>233</v>
      </c>
      <c r="W85" s="1">
        <f t="shared" ca="1" si="19"/>
        <v>-215</v>
      </c>
      <c r="X85" s="16" t="str">
        <f t="shared" ca="1" si="17"/>
        <v>SI</v>
      </c>
      <c r="Y85" s="12" t="str">
        <f>IF(AND($Z$1&gt;=U85,$Z$1&lt;=S85),"OK","NO")</f>
        <v>NO</v>
      </c>
      <c r="Z85" s="14" t="s">
        <v>188</v>
      </c>
      <c r="AA85" s="15">
        <f t="shared" ca="1" si="18"/>
        <v>-215</v>
      </c>
      <c r="AB85" s="7">
        <f>DAY(S85)</f>
        <v>23</v>
      </c>
      <c r="AC85">
        <f>MONTH(S85)</f>
        <v>5</v>
      </c>
      <c r="AD85">
        <f>YEAR(S85)</f>
        <v>2025</v>
      </c>
    </row>
    <row r="86" spans="1:30" ht="18" x14ac:dyDescent="0.2">
      <c r="A86" s="27" t="s">
        <v>188</v>
      </c>
      <c r="B86" s="31"/>
      <c r="C86" s="27"/>
      <c r="D86" s="31"/>
      <c r="E86" s="27"/>
      <c r="F86" s="31"/>
      <c r="G86" s="27" t="s">
        <v>41</v>
      </c>
      <c r="H86" s="28"/>
      <c r="I86" s="29" t="s">
        <v>28</v>
      </c>
      <c r="J86" s="30"/>
      <c r="K86" s="29" t="s">
        <v>31</v>
      </c>
      <c r="L86" s="30"/>
      <c r="M86" s="32" t="s">
        <v>32</v>
      </c>
      <c r="N86" s="57"/>
      <c r="O86" s="33">
        <v>2E-3</v>
      </c>
      <c r="P86" s="34"/>
      <c r="Q86" s="29" t="s">
        <v>213</v>
      </c>
      <c r="R86" s="30"/>
      <c r="S86" s="37">
        <v>45055</v>
      </c>
      <c r="T86" s="38"/>
      <c r="U86" s="9">
        <f t="shared" si="15"/>
        <v>44690</v>
      </c>
      <c r="V86" s="6" t="s">
        <v>215</v>
      </c>
      <c r="W86" s="1">
        <f t="shared" ca="1" si="19"/>
        <v>-960</v>
      </c>
      <c r="X86" s="16" t="str">
        <f t="shared" ca="1" si="17"/>
        <v>NO</v>
      </c>
      <c r="Y86" s="12" t="str">
        <f t="shared" si="11"/>
        <v>NO</v>
      </c>
      <c r="Z86" s="14" t="s">
        <v>126</v>
      </c>
      <c r="AA86" s="15">
        <f t="shared" ca="1" si="18"/>
        <v>-960</v>
      </c>
      <c r="AB86" s="7">
        <f t="shared" si="12"/>
        <v>9</v>
      </c>
      <c r="AC86">
        <f t="shared" si="13"/>
        <v>5</v>
      </c>
      <c r="AD86">
        <f t="shared" si="14"/>
        <v>2023</v>
      </c>
    </row>
    <row r="87" spans="1:30" ht="18" x14ac:dyDescent="0.2">
      <c r="A87" s="27" t="s">
        <v>188</v>
      </c>
      <c r="B87" s="31"/>
      <c r="C87" s="27"/>
      <c r="D87" s="31"/>
      <c r="E87" s="27"/>
      <c r="F87" s="31"/>
      <c r="G87" s="27" t="s">
        <v>41</v>
      </c>
      <c r="H87" s="28"/>
      <c r="I87" s="29" t="s">
        <v>28</v>
      </c>
      <c r="J87" s="30"/>
      <c r="K87" s="29" t="s">
        <v>31</v>
      </c>
      <c r="L87" s="30"/>
      <c r="M87" s="32" t="s">
        <v>32</v>
      </c>
      <c r="N87" s="57"/>
      <c r="O87" s="33">
        <v>2E-3</v>
      </c>
      <c r="P87" s="34"/>
      <c r="Q87" s="29" t="s">
        <v>86</v>
      </c>
      <c r="R87" s="30"/>
      <c r="S87" s="37">
        <v>45424</v>
      </c>
      <c r="T87" s="38"/>
      <c r="U87" s="9">
        <f t="shared" si="15"/>
        <v>45058</v>
      </c>
      <c r="V87" s="6" t="s">
        <v>215</v>
      </c>
      <c r="W87" s="1">
        <f t="shared" ca="1" si="19"/>
        <v>-591</v>
      </c>
      <c r="X87" s="16" t="str">
        <f t="shared" ca="1" si="17"/>
        <v>NO</v>
      </c>
      <c r="Y87" s="12" t="str">
        <f t="shared" si="11"/>
        <v>NO</v>
      </c>
      <c r="Z87" s="14" t="s">
        <v>126</v>
      </c>
      <c r="AA87" s="15">
        <f t="shared" ca="1" si="18"/>
        <v>-591</v>
      </c>
      <c r="AB87" s="7">
        <f t="shared" si="12"/>
        <v>12</v>
      </c>
      <c r="AC87">
        <f t="shared" si="13"/>
        <v>5</v>
      </c>
      <c r="AD87">
        <f t="shared" si="14"/>
        <v>2024</v>
      </c>
    </row>
    <row r="88" spans="1:30" ht="18" x14ac:dyDescent="0.2">
      <c r="A88" s="27" t="s">
        <v>126</v>
      </c>
      <c r="B88" s="31"/>
      <c r="C88" s="27"/>
      <c r="D88" s="31"/>
      <c r="E88" s="27"/>
      <c r="F88" s="31"/>
      <c r="G88" s="27" t="s">
        <v>41</v>
      </c>
      <c r="H88" s="28"/>
      <c r="I88" s="29" t="s">
        <v>28</v>
      </c>
      <c r="J88" s="30"/>
      <c r="K88" s="29" t="s">
        <v>31</v>
      </c>
      <c r="L88" s="30"/>
      <c r="M88" s="32" t="s">
        <v>32</v>
      </c>
      <c r="N88" s="57"/>
      <c r="O88" s="33">
        <v>2E-3</v>
      </c>
      <c r="P88" s="34"/>
      <c r="Q88" s="35" t="s">
        <v>214</v>
      </c>
      <c r="R88" s="36"/>
      <c r="S88" s="37">
        <v>45798</v>
      </c>
      <c r="T88" s="38"/>
      <c r="U88" s="9">
        <f t="shared" si="15"/>
        <v>45433</v>
      </c>
      <c r="V88" s="6" t="s">
        <v>215</v>
      </c>
      <c r="W88" s="1">
        <f t="shared" ca="1" si="19"/>
        <v>-217</v>
      </c>
      <c r="X88" s="16" t="str">
        <f t="shared" ca="1" si="17"/>
        <v>SI</v>
      </c>
      <c r="Y88" s="12" t="str">
        <f t="shared" si="11"/>
        <v>NO</v>
      </c>
      <c r="Z88" s="14" t="s">
        <v>188</v>
      </c>
      <c r="AA88" s="15">
        <f t="shared" ca="1" si="18"/>
        <v>-217</v>
      </c>
      <c r="AB88" s="7">
        <f t="shared" si="12"/>
        <v>21</v>
      </c>
      <c r="AC88">
        <f t="shared" si="13"/>
        <v>5</v>
      </c>
      <c r="AD88">
        <f t="shared" si="14"/>
        <v>2025</v>
      </c>
    </row>
    <row r="89" spans="1:30" ht="18" x14ac:dyDescent="0.2">
      <c r="A89" s="27" t="s">
        <v>188</v>
      </c>
      <c r="B89" s="31"/>
      <c r="C89" s="27"/>
      <c r="D89" s="31"/>
      <c r="E89" s="27"/>
      <c r="F89" s="31"/>
      <c r="G89" s="27" t="s">
        <v>41</v>
      </c>
      <c r="H89" s="28"/>
      <c r="I89" s="29" t="s">
        <v>28</v>
      </c>
      <c r="J89" s="30"/>
      <c r="K89" s="29" t="s">
        <v>34</v>
      </c>
      <c r="L89" s="30"/>
      <c r="M89" s="32" t="s">
        <v>32</v>
      </c>
      <c r="N89" s="57"/>
      <c r="O89" s="33">
        <v>2E-3</v>
      </c>
      <c r="P89" s="34"/>
      <c r="Q89" s="29" t="s">
        <v>216</v>
      </c>
      <c r="R89" s="30"/>
      <c r="S89" s="37">
        <v>45055</v>
      </c>
      <c r="T89" s="38"/>
      <c r="U89" s="9">
        <f t="shared" si="15"/>
        <v>44690</v>
      </c>
      <c r="V89" s="6" t="s">
        <v>218</v>
      </c>
      <c r="W89" s="1">
        <f t="shared" ca="1" si="19"/>
        <v>-960</v>
      </c>
      <c r="X89" s="16" t="str">
        <f t="shared" ca="1" si="17"/>
        <v>NO</v>
      </c>
      <c r="Y89" s="12" t="str">
        <f t="shared" si="11"/>
        <v>NO</v>
      </c>
      <c r="Z89" s="14" t="s">
        <v>126</v>
      </c>
      <c r="AA89" s="15">
        <f t="shared" ca="1" si="18"/>
        <v>-960</v>
      </c>
      <c r="AB89" s="7">
        <f t="shared" si="12"/>
        <v>9</v>
      </c>
      <c r="AC89">
        <f t="shared" si="13"/>
        <v>5</v>
      </c>
      <c r="AD89">
        <f t="shared" si="14"/>
        <v>2023</v>
      </c>
    </row>
    <row r="90" spans="1:30" ht="18" x14ac:dyDescent="0.2">
      <c r="A90" s="27" t="s">
        <v>188</v>
      </c>
      <c r="B90" s="31"/>
      <c r="C90" s="27"/>
      <c r="D90" s="31"/>
      <c r="E90" s="27"/>
      <c r="F90" s="31"/>
      <c r="G90" s="27" t="s">
        <v>41</v>
      </c>
      <c r="H90" s="28"/>
      <c r="I90" s="29" t="s">
        <v>28</v>
      </c>
      <c r="J90" s="30"/>
      <c r="K90" s="29" t="s">
        <v>34</v>
      </c>
      <c r="L90" s="30"/>
      <c r="M90" s="32" t="s">
        <v>32</v>
      </c>
      <c r="N90" s="57"/>
      <c r="O90" s="33">
        <v>2E-3</v>
      </c>
      <c r="P90" s="34"/>
      <c r="Q90" s="29" t="s">
        <v>92</v>
      </c>
      <c r="R90" s="30"/>
      <c r="S90" s="37">
        <v>45424</v>
      </c>
      <c r="T90" s="38"/>
      <c r="U90" s="9">
        <f t="shared" ref="U90:U135" si="20">DATE(AD90-1,AC90,AB90)</f>
        <v>45058</v>
      </c>
      <c r="V90" s="6" t="s">
        <v>218</v>
      </c>
      <c r="W90" s="1">
        <f t="shared" ca="1" si="19"/>
        <v>-591</v>
      </c>
      <c r="X90" s="16" t="str">
        <f t="shared" ca="1" si="17"/>
        <v>NO</v>
      </c>
      <c r="Y90" s="12" t="str">
        <f t="shared" ref="Y90:Y135" si="21">IF(AND($Z$1&gt;=U90,$Z$1&lt;=S90),"OK","NO")</f>
        <v>NO</v>
      </c>
      <c r="Z90" s="14" t="s">
        <v>126</v>
      </c>
      <c r="AA90" s="15">
        <f t="shared" ca="1" si="18"/>
        <v>-591</v>
      </c>
      <c r="AB90" s="7">
        <f t="shared" ref="AB90:AB135" si="22">DAY(S90)</f>
        <v>12</v>
      </c>
      <c r="AC90">
        <f t="shared" ref="AC90:AC135" si="23">MONTH(S90)</f>
        <v>5</v>
      </c>
      <c r="AD90">
        <f t="shared" ref="AD90:AD135" si="24">YEAR(S90)</f>
        <v>2024</v>
      </c>
    </row>
    <row r="91" spans="1:30" ht="18" x14ac:dyDescent="0.2">
      <c r="A91" s="27" t="s">
        <v>126</v>
      </c>
      <c r="B91" s="31"/>
      <c r="C91" s="27"/>
      <c r="D91" s="31"/>
      <c r="E91" s="27"/>
      <c r="F91" s="31"/>
      <c r="G91" s="27" t="s">
        <v>41</v>
      </c>
      <c r="H91" s="28"/>
      <c r="I91" s="29" t="s">
        <v>28</v>
      </c>
      <c r="J91" s="30"/>
      <c r="K91" s="29" t="s">
        <v>34</v>
      </c>
      <c r="L91" s="30"/>
      <c r="M91" s="32" t="s">
        <v>32</v>
      </c>
      <c r="N91" s="57"/>
      <c r="O91" s="33">
        <v>2E-3</v>
      </c>
      <c r="P91" s="34"/>
      <c r="Q91" s="35" t="s">
        <v>217</v>
      </c>
      <c r="R91" s="36"/>
      <c r="S91" s="37">
        <v>45798</v>
      </c>
      <c r="T91" s="38"/>
      <c r="U91" s="9">
        <f t="shared" si="20"/>
        <v>45433</v>
      </c>
      <c r="V91" s="6" t="s">
        <v>218</v>
      </c>
      <c r="W91" s="1">
        <f t="shared" ca="1" si="19"/>
        <v>-217</v>
      </c>
      <c r="X91" s="16" t="str">
        <f t="shared" ca="1" si="17"/>
        <v>SI</v>
      </c>
      <c r="Y91" s="12" t="str">
        <f t="shared" si="21"/>
        <v>NO</v>
      </c>
      <c r="Z91" s="14" t="s">
        <v>188</v>
      </c>
      <c r="AA91" s="15">
        <f t="shared" ca="1" si="18"/>
        <v>-217</v>
      </c>
      <c r="AB91" s="7">
        <f t="shared" si="22"/>
        <v>21</v>
      </c>
      <c r="AC91">
        <f t="shared" si="23"/>
        <v>5</v>
      </c>
      <c r="AD91">
        <f t="shared" si="24"/>
        <v>2025</v>
      </c>
    </row>
    <row r="92" spans="1:30" ht="18" x14ac:dyDescent="0.2">
      <c r="A92" s="27" t="s">
        <v>188</v>
      </c>
      <c r="B92" s="31"/>
      <c r="C92" s="27"/>
      <c r="D92" s="31"/>
      <c r="E92" s="27"/>
      <c r="F92" s="31"/>
      <c r="G92" s="27" t="s">
        <v>41</v>
      </c>
      <c r="H92" s="28"/>
      <c r="I92" s="29" t="s">
        <v>28</v>
      </c>
      <c r="J92" s="30"/>
      <c r="K92" s="29" t="s">
        <v>35</v>
      </c>
      <c r="L92" s="30"/>
      <c r="M92" s="32" t="s">
        <v>22</v>
      </c>
      <c r="N92" s="57"/>
      <c r="O92" s="33">
        <v>2E-3</v>
      </c>
      <c r="P92" s="34"/>
      <c r="Q92" s="29" t="s">
        <v>199</v>
      </c>
      <c r="R92" s="30"/>
      <c r="S92" s="37">
        <v>45055</v>
      </c>
      <c r="T92" s="38"/>
      <c r="U92" s="9">
        <f t="shared" si="20"/>
        <v>44690</v>
      </c>
      <c r="V92" s="6" t="s">
        <v>201</v>
      </c>
      <c r="W92" s="1">
        <f t="shared" ca="1" si="19"/>
        <v>-960</v>
      </c>
      <c r="X92" s="16" t="str">
        <f t="shared" ca="1" si="17"/>
        <v>NO</v>
      </c>
      <c r="Y92" s="12" t="str">
        <f t="shared" si="21"/>
        <v>NO</v>
      </c>
      <c r="Z92" s="14" t="s">
        <v>126</v>
      </c>
      <c r="AA92" s="15">
        <f t="shared" ca="1" si="18"/>
        <v>-960</v>
      </c>
      <c r="AB92" s="7">
        <f t="shared" si="22"/>
        <v>9</v>
      </c>
      <c r="AC92">
        <f t="shared" si="23"/>
        <v>5</v>
      </c>
      <c r="AD92">
        <f t="shared" si="24"/>
        <v>2023</v>
      </c>
    </row>
    <row r="93" spans="1:30" ht="18" x14ac:dyDescent="0.2">
      <c r="A93" s="27" t="s">
        <v>188</v>
      </c>
      <c r="B93" s="31"/>
      <c r="C93" s="27"/>
      <c r="D93" s="31"/>
      <c r="E93" s="27"/>
      <c r="F93" s="31"/>
      <c r="G93" s="27" t="s">
        <v>41</v>
      </c>
      <c r="H93" s="28"/>
      <c r="I93" s="29" t="s">
        <v>28</v>
      </c>
      <c r="J93" s="30"/>
      <c r="K93" s="29" t="s">
        <v>35</v>
      </c>
      <c r="L93" s="30"/>
      <c r="M93" s="32" t="s">
        <v>22</v>
      </c>
      <c r="N93" s="57"/>
      <c r="O93" s="33">
        <v>2E-3</v>
      </c>
      <c r="P93" s="34"/>
      <c r="Q93" s="29" t="s">
        <v>83</v>
      </c>
      <c r="R93" s="30"/>
      <c r="S93" s="37">
        <v>45423</v>
      </c>
      <c r="T93" s="38"/>
      <c r="U93" s="9">
        <f t="shared" si="20"/>
        <v>45057</v>
      </c>
      <c r="V93" s="6" t="s">
        <v>201</v>
      </c>
      <c r="W93" s="1">
        <f t="shared" ca="1" si="19"/>
        <v>-592</v>
      </c>
      <c r="X93" s="16" t="str">
        <f t="shared" ca="1" si="17"/>
        <v>NO</v>
      </c>
      <c r="Y93" s="12" t="str">
        <f t="shared" si="21"/>
        <v>NO</v>
      </c>
      <c r="Z93" s="14" t="s">
        <v>126</v>
      </c>
      <c r="AA93" s="15">
        <f t="shared" ca="1" si="18"/>
        <v>-592</v>
      </c>
      <c r="AB93" s="7">
        <f t="shared" si="22"/>
        <v>11</v>
      </c>
      <c r="AC93">
        <f t="shared" si="23"/>
        <v>5</v>
      </c>
      <c r="AD93">
        <f t="shared" si="24"/>
        <v>2024</v>
      </c>
    </row>
    <row r="94" spans="1:30" ht="18" x14ac:dyDescent="0.2">
      <c r="A94" s="27" t="s">
        <v>126</v>
      </c>
      <c r="B94" s="31"/>
      <c r="C94" s="27"/>
      <c r="D94" s="31"/>
      <c r="E94" s="27"/>
      <c r="F94" s="31"/>
      <c r="G94" s="27" t="s">
        <v>41</v>
      </c>
      <c r="H94" s="28"/>
      <c r="I94" s="29" t="s">
        <v>28</v>
      </c>
      <c r="J94" s="30"/>
      <c r="K94" s="29" t="s">
        <v>35</v>
      </c>
      <c r="L94" s="30"/>
      <c r="M94" s="32" t="s">
        <v>22</v>
      </c>
      <c r="N94" s="57"/>
      <c r="O94" s="33">
        <v>2E-3</v>
      </c>
      <c r="P94" s="34"/>
      <c r="Q94" s="35" t="s">
        <v>200</v>
      </c>
      <c r="R94" s="36"/>
      <c r="S94" s="37">
        <v>45797</v>
      </c>
      <c r="T94" s="38"/>
      <c r="U94" s="9">
        <f t="shared" si="20"/>
        <v>45432</v>
      </c>
      <c r="V94" s="6" t="s">
        <v>201</v>
      </c>
      <c r="W94" s="1">
        <f t="shared" ca="1" si="19"/>
        <v>-218</v>
      </c>
      <c r="X94" s="16" t="str">
        <f t="shared" ca="1" si="17"/>
        <v>SI</v>
      </c>
      <c r="Y94" s="12" t="str">
        <f t="shared" si="21"/>
        <v>NO</v>
      </c>
      <c r="Z94" s="14" t="s">
        <v>188</v>
      </c>
      <c r="AA94" s="15">
        <f t="shared" ca="1" si="18"/>
        <v>-218</v>
      </c>
      <c r="AB94" s="7">
        <f t="shared" si="22"/>
        <v>20</v>
      </c>
      <c r="AC94">
        <f t="shared" si="23"/>
        <v>5</v>
      </c>
      <c r="AD94">
        <f t="shared" si="24"/>
        <v>2025</v>
      </c>
    </row>
    <row r="95" spans="1:30" ht="18" x14ac:dyDescent="0.2">
      <c r="A95" s="27" t="s">
        <v>188</v>
      </c>
      <c r="B95" s="31"/>
      <c r="C95" s="27"/>
      <c r="D95" s="31"/>
      <c r="E95" s="27"/>
      <c r="F95" s="31"/>
      <c r="G95" s="27" t="s">
        <v>41</v>
      </c>
      <c r="H95" s="28"/>
      <c r="I95" s="29" t="s">
        <v>28</v>
      </c>
      <c r="J95" s="30"/>
      <c r="K95" s="29" t="s">
        <v>36</v>
      </c>
      <c r="L95" s="30"/>
      <c r="M95" s="32" t="s">
        <v>22</v>
      </c>
      <c r="N95" s="57"/>
      <c r="O95" s="33">
        <v>2E-3</v>
      </c>
      <c r="P95" s="34"/>
      <c r="Q95" s="29" t="s">
        <v>198</v>
      </c>
      <c r="R95" s="30"/>
      <c r="S95" s="37">
        <v>45055</v>
      </c>
      <c r="T95" s="38"/>
      <c r="U95" s="9">
        <f t="shared" si="20"/>
        <v>44690</v>
      </c>
      <c r="V95" s="6" t="s">
        <v>202</v>
      </c>
      <c r="W95" s="1">
        <f t="shared" ca="1" si="19"/>
        <v>-960</v>
      </c>
      <c r="X95" s="16" t="str">
        <f t="shared" ca="1" si="17"/>
        <v>NO</v>
      </c>
      <c r="Y95" s="12" t="str">
        <f t="shared" si="21"/>
        <v>NO</v>
      </c>
      <c r="Z95" s="14" t="s">
        <v>126</v>
      </c>
      <c r="AA95" s="15">
        <f t="shared" ca="1" si="18"/>
        <v>-960</v>
      </c>
      <c r="AB95" s="7">
        <f t="shared" si="22"/>
        <v>9</v>
      </c>
      <c r="AC95">
        <f t="shared" si="23"/>
        <v>5</v>
      </c>
      <c r="AD95">
        <f t="shared" si="24"/>
        <v>2023</v>
      </c>
    </row>
    <row r="96" spans="1:30" ht="18" x14ac:dyDescent="0.2">
      <c r="A96" s="27" t="s">
        <v>188</v>
      </c>
      <c r="B96" s="31"/>
      <c r="C96" s="27"/>
      <c r="D96" s="31"/>
      <c r="E96" s="27"/>
      <c r="F96" s="31"/>
      <c r="G96" s="27" t="s">
        <v>41</v>
      </c>
      <c r="H96" s="28"/>
      <c r="I96" s="29" t="s">
        <v>28</v>
      </c>
      <c r="J96" s="30"/>
      <c r="K96" s="29" t="s">
        <v>36</v>
      </c>
      <c r="L96" s="30"/>
      <c r="M96" s="32" t="s">
        <v>22</v>
      </c>
      <c r="N96" s="57"/>
      <c r="O96" s="33">
        <v>2E-3</v>
      </c>
      <c r="P96" s="34"/>
      <c r="Q96" s="29" t="s">
        <v>84</v>
      </c>
      <c r="R96" s="30"/>
      <c r="S96" s="37">
        <v>45423</v>
      </c>
      <c r="T96" s="38"/>
      <c r="U96" s="9">
        <f t="shared" si="20"/>
        <v>45057</v>
      </c>
      <c r="V96" s="6" t="s">
        <v>202</v>
      </c>
      <c r="W96" s="1">
        <f t="shared" ca="1" si="19"/>
        <v>-592</v>
      </c>
      <c r="X96" s="16" t="str">
        <f t="shared" ca="1" si="17"/>
        <v>NO</v>
      </c>
      <c r="Y96" s="12" t="str">
        <f t="shared" si="21"/>
        <v>NO</v>
      </c>
      <c r="Z96" s="14" t="s">
        <v>126</v>
      </c>
      <c r="AA96" s="15">
        <f t="shared" ca="1" si="18"/>
        <v>-592</v>
      </c>
      <c r="AB96" s="7">
        <f t="shared" si="22"/>
        <v>11</v>
      </c>
      <c r="AC96">
        <f t="shared" si="23"/>
        <v>5</v>
      </c>
      <c r="AD96">
        <f t="shared" si="24"/>
        <v>2024</v>
      </c>
    </row>
    <row r="97" spans="1:30" ht="18" x14ac:dyDescent="0.2">
      <c r="A97" s="27" t="s">
        <v>126</v>
      </c>
      <c r="B97" s="31"/>
      <c r="C97" s="27"/>
      <c r="D97" s="31"/>
      <c r="E97" s="27"/>
      <c r="F97" s="31"/>
      <c r="G97" s="27" t="s">
        <v>41</v>
      </c>
      <c r="H97" s="28"/>
      <c r="I97" s="29" t="s">
        <v>28</v>
      </c>
      <c r="J97" s="30"/>
      <c r="K97" s="29" t="s">
        <v>36</v>
      </c>
      <c r="L97" s="30"/>
      <c r="M97" s="32" t="s">
        <v>22</v>
      </c>
      <c r="N97" s="57"/>
      <c r="O97" s="33">
        <v>2E-3</v>
      </c>
      <c r="P97" s="34"/>
      <c r="Q97" s="35" t="s">
        <v>203</v>
      </c>
      <c r="R97" s="36"/>
      <c r="S97" s="37">
        <v>45797</v>
      </c>
      <c r="T97" s="38"/>
      <c r="U97" s="9">
        <f t="shared" si="20"/>
        <v>45432</v>
      </c>
      <c r="V97" s="6" t="s">
        <v>202</v>
      </c>
      <c r="W97" s="1">
        <f t="shared" ca="1" si="19"/>
        <v>-218</v>
      </c>
      <c r="X97" s="16" t="str">
        <f t="shared" ca="1" si="17"/>
        <v>SI</v>
      </c>
      <c r="Y97" s="12" t="str">
        <f t="shared" si="21"/>
        <v>NO</v>
      </c>
      <c r="Z97" s="14" t="s">
        <v>188</v>
      </c>
      <c r="AA97" s="15">
        <f t="shared" ca="1" si="18"/>
        <v>-218</v>
      </c>
      <c r="AB97" s="7">
        <f t="shared" si="22"/>
        <v>20</v>
      </c>
      <c r="AC97">
        <f t="shared" si="23"/>
        <v>5</v>
      </c>
      <c r="AD97">
        <f t="shared" si="24"/>
        <v>2025</v>
      </c>
    </row>
    <row r="98" spans="1:30" ht="18" x14ac:dyDescent="0.2">
      <c r="A98" s="27" t="s">
        <v>188</v>
      </c>
      <c r="B98" s="31"/>
      <c r="C98" s="27"/>
      <c r="D98" s="31"/>
      <c r="E98" s="27"/>
      <c r="F98" s="31"/>
      <c r="G98" s="27" t="s">
        <v>41</v>
      </c>
      <c r="H98" s="28"/>
      <c r="I98" s="29" t="s">
        <v>28</v>
      </c>
      <c r="J98" s="30"/>
      <c r="K98" s="29" t="s">
        <v>37</v>
      </c>
      <c r="L98" s="30"/>
      <c r="M98" s="32" t="s">
        <v>22</v>
      </c>
      <c r="N98" s="57"/>
      <c r="O98" s="33">
        <v>2E-3</v>
      </c>
      <c r="P98" s="34"/>
      <c r="Q98" s="29" t="s">
        <v>204</v>
      </c>
      <c r="R98" s="30"/>
      <c r="S98" s="37">
        <v>45055</v>
      </c>
      <c r="T98" s="38"/>
      <c r="U98" s="9">
        <f t="shared" si="20"/>
        <v>44690</v>
      </c>
      <c r="V98" s="6" t="s">
        <v>205</v>
      </c>
      <c r="W98" s="1">
        <f t="shared" ca="1" si="19"/>
        <v>-960</v>
      </c>
      <c r="X98" s="16" t="str">
        <f t="shared" ca="1" si="17"/>
        <v>NO</v>
      </c>
      <c r="Y98" s="12" t="str">
        <f t="shared" si="21"/>
        <v>NO</v>
      </c>
      <c r="Z98" s="14" t="s">
        <v>126</v>
      </c>
      <c r="AA98" s="15">
        <f t="shared" ca="1" si="18"/>
        <v>-960</v>
      </c>
      <c r="AB98" s="7">
        <f t="shared" si="22"/>
        <v>9</v>
      </c>
      <c r="AC98">
        <f t="shared" si="23"/>
        <v>5</v>
      </c>
      <c r="AD98">
        <f t="shared" si="24"/>
        <v>2023</v>
      </c>
    </row>
    <row r="99" spans="1:30" ht="18" x14ac:dyDescent="0.2">
      <c r="A99" s="27" t="s">
        <v>188</v>
      </c>
      <c r="B99" s="31"/>
      <c r="C99" s="27"/>
      <c r="D99" s="31"/>
      <c r="E99" s="27"/>
      <c r="F99" s="31"/>
      <c r="G99" s="27" t="s">
        <v>41</v>
      </c>
      <c r="H99" s="28"/>
      <c r="I99" s="29" t="s">
        <v>28</v>
      </c>
      <c r="J99" s="30"/>
      <c r="K99" s="29" t="s">
        <v>37</v>
      </c>
      <c r="L99" s="30"/>
      <c r="M99" s="32" t="s">
        <v>22</v>
      </c>
      <c r="N99" s="57"/>
      <c r="O99" s="33">
        <v>2E-3</v>
      </c>
      <c r="P99" s="34"/>
      <c r="Q99" s="29" t="s">
        <v>87</v>
      </c>
      <c r="R99" s="30"/>
      <c r="S99" s="37">
        <v>45423</v>
      </c>
      <c r="T99" s="38"/>
      <c r="U99" s="9">
        <f t="shared" si="20"/>
        <v>45057</v>
      </c>
      <c r="V99" s="6" t="s">
        <v>205</v>
      </c>
      <c r="W99" s="1">
        <f t="shared" ca="1" si="19"/>
        <v>-592</v>
      </c>
      <c r="X99" s="16" t="str">
        <f t="shared" ca="1" si="17"/>
        <v>NO</v>
      </c>
      <c r="Y99" s="12" t="str">
        <f t="shared" si="21"/>
        <v>NO</v>
      </c>
      <c r="Z99" s="14" t="s">
        <v>126</v>
      </c>
      <c r="AA99" s="15">
        <f t="shared" ca="1" si="18"/>
        <v>-592</v>
      </c>
      <c r="AB99" s="7">
        <f t="shared" si="22"/>
        <v>11</v>
      </c>
      <c r="AC99">
        <f t="shared" si="23"/>
        <v>5</v>
      </c>
      <c r="AD99">
        <f t="shared" si="24"/>
        <v>2024</v>
      </c>
    </row>
    <row r="100" spans="1:30" ht="18" x14ac:dyDescent="0.2">
      <c r="A100" s="27" t="s">
        <v>126</v>
      </c>
      <c r="B100" s="31"/>
      <c r="C100" s="27"/>
      <c r="D100" s="31"/>
      <c r="E100" s="27"/>
      <c r="F100" s="31"/>
      <c r="G100" s="27" t="s">
        <v>41</v>
      </c>
      <c r="H100" s="28"/>
      <c r="I100" s="29" t="s">
        <v>28</v>
      </c>
      <c r="J100" s="30"/>
      <c r="K100" s="29" t="s">
        <v>37</v>
      </c>
      <c r="L100" s="30"/>
      <c r="M100" s="32" t="s">
        <v>22</v>
      </c>
      <c r="N100" s="57"/>
      <c r="O100" s="33">
        <v>2E-3</v>
      </c>
      <c r="P100" s="34"/>
      <c r="Q100" s="35" t="s">
        <v>206</v>
      </c>
      <c r="R100" s="36"/>
      <c r="S100" s="37">
        <v>45797</v>
      </c>
      <c r="T100" s="38"/>
      <c r="U100" s="9">
        <f t="shared" si="20"/>
        <v>45432</v>
      </c>
      <c r="V100" s="6" t="s">
        <v>205</v>
      </c>
      <c r="W100" s="1">
        <f t="shared" ca="1" si="19"/>
        <v>-218</v>
      </c>
      <c r="X100" s="16" t="str">
        <f t="shared" ca="1" si="17"/>
        <v>SI</v>
      </c>
      <c r="Y100" s="12" t="str">
        <f t="shared" si="21"/>
        <v>NO</v>
      </c>
      <c r="Z100" s="14" t="s">
        <v>188</v>
      </c>
      <c r="AA100" s="15">
        <f t="shared" ca="1" si="18"/>
        <v>-218</v>
      </c>
      <c r="AB100" s="7">
        <f t="shared" si="22"/>
        <v>20</v>
      </c>
      <c r="AC100">
        <f t="shared" si="23"/>
        <v>5</v>
      </c>
      <c r="AD100">
        <f t="shared" si="24"/>
        <v>2025</v>
      </c>
    </row>
    <row r="101" spans="1:30" ht="18" x14ac:dyDescent="0.2">
      <c r="A101" s="27" t="s">
        <v>188</v>
      </c>
      <c r="B101" s="31"/>
      <c r="C101" s="27"/>
      <c r="D101" s="31"/>
      <c r="E101" s="27"/>
      <c r="F101" s="31"/>
      <c r="G101" s="27" t="s">
        <v>41</v>
      </c>
      <c r="H101" s="28"/>
      <c r="I101" s="29" t="s">
        <v>28</v>
      </c>
      <c r="J101" s="30"/>
      <c r="K101" s="29" t="s">
        <v>38</v>
      </c>
      <c r="L101" s="30"/>
      <c r="M101" s="32" t="s">
        <v>30</v>
      </c>
      <c r="N101" s="57"/>
      <c r="O101" s="33">
        <v>2E-3</v>
      </c>
      <c r="P101" s="34"/>
      <c r="Q101" s="29" t="s">
        <v>234</v>
      </c>
      <c r="R101" s="30"/>
      <c r="S101" s="37">
        <v>45055</v>
      </c>
      <c r="T101" s="38"/>
      <c r="U101" s="9">
        <f>DATE(AD101-1,AC101,AB101)</f>
        <v>44690</v>
      </c>
      <c r="V101" s="6" t="s">
        <v>236</v>
      </c>
      <c r="W101" s="1">
        <f t="shared" ca="1" si="19"/>
        <v>-960</v>
      </c>
      <c r="X101" s="16" t="str">
        <f t="shared" ca="1" si="17"/>
        <v>NO</v>
      </c>
      <c r="Y101" s="12" t="str">
        <f>IF(AND($Z$1&gt;=U101,$Z$1&lt;=S101),"OK","NO")</f>
        <v>NO</v>
      </c>
      <c r="Z101" s="14" t="s">
        <v>126</v>
      </c>
      <c r="AA101" s="15">
        <f t="shared" ca="1" si="18"/>
        <v>-960</v>
      </c>
      <c r="AB101" s="7">
        <f>DAY(S101)</f>
        <v>9</v>
      </c>
      <c r="AC101">
        <f>MONTH(S101)</f>
        <v>5</v>
      </c>
      <c r="AD101">
        <f>YEAR(S101)</f>
        <v>2023</v>
      </c>
    </row>
    <row r="102" spans="1:30" ht="18" x14ac:dyDescent="0.2">
      <c r="A102" s="27" t="s">
        <v>188</v>
      </c>
      <c r="B102" s="31"/>
      <c r="C102" s="27"/>
      <c r="D102" s="31"/>
      <c r="E102" s="27"/>
      <c r="F102" s="31"/>
      <c r="G102" s="27" t="s">
        <v>41</v>
      </c>
      <c r="H102" s="28"/>
      <c r="I102" s="29" t="s">
        <v>28</v>
      </c>
      <c r="J102" s="30"/>
      <c r="K102" s="29" t="s">
        <v>38</v>
      </c>
      <c r="L102" s="30"/>
      <c r="M102" s="32" t="s">
        <v>30</v>
      </c>
      <c r="N102" s="57"/>
      <c r="O102" s="33">
        <v>2E-3</v>
      </c>
      <c r="P102" s="34"/>
      <c r="Q102" s="55" t="s">
        <v>91</v>
      </c>
      <c r="R102" s="56"/>
      <c r="S102" s="37">
        <v>45422</v>
      </c>
      <c r="T102" s="38"/>
      <c r="U102" s="9">
        <f t="shared" si="20"/>
        <v>45056</v>
      </c>
      <c r="V102" s="6" t="s">
        <v>236</v>
      </c>
      <c r="W102" s="1">
        <f t="shared" ca="1" si="19"/>
        <v>-593</v>
      </c>
      <c r="X102" s="16" t="str">
        <f t="shared" ca="1" si="17"/>
        <v>NO</v>
      </c>
      <c r="Y102" s="12" t="str">
        <f t="shared" si="21"/>
        <v>NO</v>
      </c>
      <c r="Z102" s="14" t="s">
        <v>126</v>
      </c>
      <c r="AA102" s="15">
        <f t="shared" ca="1" si="18"/>
        <v>-593</v>
      </c>
      <c r="AB102" s="7">
        <f t="shared" si="22"/>
        <v>10</v>
      </c>
      <c r="AC102">
        <f t="shared" si="23"/>
        <v>5</v>
      </c>
      <c r="AD102">
        <f t="shared" si="24"/>
        <v>2024</v>
      </c>
    </row>
    <row r="103" spans="1:30" ht="18" x14ac:dyDescent="0.2">
      <c r="A103" s="27" t="s">
        <v>126</v>
      </c>
      <c r="B103" s="31"/>
      <c r="C103" s="27"/>
      <c r="D103" s="31"/>
      <c r="G103" s="27" t="s">
        <v>41</v>
      </c>
      <c r="H103" s="28"/>
      <c r="I103" s="29" t="s">
        <v>28</v>
      </c>
      <c r="J103" s="30"/>
      <c r="K103" s="29" t="s">
        <v>38</v>
      </c>
      <c r="L103" s="30"/>
      <c r="M103" s="32" t="s">
        <v>30</v>
      </c>
      <c r="N103" s="57"/>
      <c r="O103" s="33">
        <v>2E-3</v>
      </c>
      <c r="P103" s="34"/>
      <c r="Q103" s="35" t="s">
        <v>235</v>
      </c>
      <c r="R103" s="36"/>
      <c r="S103" s="37">
        <v>45800</v>
      </c>
      <c r="T103" s="38"/>
      <c r="U103" s="9">
        <f>DATE(AD103-1,AC103,AB103)</f>
        <v>45435</v>
      </c>
      <c r="V103" s="6" t="s">
        <v>236</v>
      </c>
      <c r="W103" s="1">
        <f t="shared" ca="1" si="19"/>
        <v>-215</v>
      </c>
      <c r="X103" s="16" t="str">
        <f t="shared" ref="X103:X134" ca="1" si="25">IF(AND(AA103&gt;-1000,AA103&lt;60,Z103="NO"),"SI","NO")</f>
        <v>SI</v>
      </c>
      <c r="Y103" s="12" t="str">
        <f>IF(AND($Z$1&gt;=U103,$Z$1&lt;=S103),"OK","NO")</f>
        <v>NO</v>
      </c>
      <c r="Z103" s="14" t="s">
        <v>188</v>
      </c>
      <c r="AA103" s="15">
        <f t="shared" ref="AA103:AA134" ca="1" si="26">S103-$G$1</f>
        <v>-215</v>
      </c>
      <c r="AB103" s="7">
        <f>DAY(S103)</f>
        <v>23</v>
      </c>
      <c r="AC103">
        <f>MONTH(S103)</f>
        <v>5</v>
      </c>
      <c r="AD103">
        <f>YEAR(S103)</f>
        <v>2025</v>
      </c>
    </row>
    <row r="104" spans="1:30" ht="18" x14ac:dyDescent="0.2">
      <c r="A104" s="27" t="s">
        <v>188</v>
      </c>
      <c r="B104" s="31"/>
      <c r="C104" s="27"/>
      <c r="D104" s="31"/>
      <c r="E104" s="27"/>
      <c r="F104" s="31"/>
      <c r="G104" s="27" t="s">
        <v>41</v>
      </c>
      <c r="H104" s="28"/>
      <c r="I104" s="29" t="s">
        <v>28</v>
      </c>
      <c r="J104" s="30"/>
      <c r="K104" s="29" t="s">
        <v>39</v>
      </c>
      <c r="L104" s="30"/>
      <c r="M104" s="32" t="s">
        <v>30</v>
      </c>
      <c r="N104" s="57"/>
      <c r="O104" s="33">
        <v>2E-3</v>
      </c>
      <c r="P104" s="34"/>
      <c r="Q104" s="55" t="s">
        <v>226</v>
      </c>
      <c r="R104" s="56"/>
      <c r="S104" s="37">
        <v>45055</v>
      </c>
      <c r="T104" s="38"/>
      <c r="U104" s="9">
        <f>DATE(AD104-1,AC104,AB104)</f>
        <v>44690</v>
      </c>
      <c r="V104" s="6" t="s">
        <v>228</v>
      </c>
      <c r="W104" s="1">
        <f t="shared" ca="1" si="19"/>
        <v>-960</v>
      </c>
      <c r="X104" s="16" t="str">
        <f t="shared" ca="1" si="25"/>
        <v>NO</v>
      </c>
      <c r="Y104" s="12" t="str">
        <f>IF(AND($Z$1&gt;=U104,$Z$1&lt;=S104),"OK","NO")</f>
        <v>NO</v>
      </c>
      <c r="Z104" s="14" t="s">
        <v>126</v>
      </c>
      <c r="AA104" s="15">
        <f t="shared" ca="1" si="26"/>
        <v>-960</v>
      </c>
      <c r="AB104" s="7">
        <f>DAY(S104)</f>
        <v>9</v>
      </c>
      <c r="AC104">
        <f>MONTH(S104)</f>
        <v>5</v>
      </c>
      <c r="AD104">
        <f>YEAR(S104)</f>
        <v>2023</v>
      </c>
    </row>
    <row r="105" spans="1:30" ht="18" x14ac:dyDescent="0.2">
      <c r="A105" s="27" t="s">
        <v>188</v>
      </c>
      <c r="B105" s="31"/>
      <c r="C105" s="27"/>
      <c r="D105" s="31"/>
      <c r="E105" s="27"/>
      <c r="F105" s="31"/>
      <c r="G105" s="27" t="s">
        <v>41</v>
      </c>
      <c r="H105" s="28"/>
      <c r="I105" s="29" t="s">
        <v>28</v>
      </c>
      <c r="J105" s="30"/>
      <c r="K105" s="29" t="s">
        <v>39</v>
      </c>
      <c r="L105" s="30"/>
      <c r="M105" s="32" t="s">
        <v>30</v>
      </c>
      <c r="N105" s="57"/>
      <c r="O105" s="33">
        <v>2E-3</v>
      </c>
      <c r="P105" s="34"/>
      <c r="Q105" s="55" t="s">
        <v>90</v>
      </c>
      <c r="R105" s="56"/>
      <c r="S105" s="37">
        <v>45422</v>
      </c>
      <c r="T105" s="38"/>
      <c r="U105" s="9">
        <f t="shared" si="20"/>
        <v>45056</v>
      </c>
      <c r="V105" s="6" t="s">
        <v>228</v>
      </c>
      <c r="W105" s="1">
        <f t="shared" ca="1" si="19"/>
        <v>-593</v>
      </c>
      <c r="X105" s="16" t="str">
        <f t="shared" ca="1" si="25"/>
        <v>NO</v>
      </c>
      <c r="Y105" s="12" t="str">
        <f t="shared" si="21"/>
        <v>NO</v>
      </c>
      <c r="Z105" s="14" t="s">
        <v>126</v>
      </c>
      <c r="AA105" s="15">
        <f t="shared" ca="1" si="26"/>
        <v>-593</v>
      </c>
      <c r="AB105" s="7">
        <f t="shared" si="22"/>
        <v>10</v>
      </c>
      <c r="AC105">
        <f t="shared" si="23"/>
        <v>5</v>
      </c>
      <c r="AD105">
        <f t="shared" si="24"/>
        <v>2024</v>
      </c>
    </row>
    <row r="106" spans="1:30" ht="18" x14ac:dyDescent="0.2">
      <c r="A106" s="27" t="s">
        <v>126</v>
      </c>
      <c r="B106" s="31"/>
      <c r="C106" s="27"/>
      <c r="D106" s="31"/>
      <c r="E106" s="27"/>
      <c r="F106" s="31"/>
      <c r="G106" s="27" t="s">
        <v>41</v>
      </c>
      <c r="H106" s="28"/>
      <c r="I106" s="29" t="s">
        <v>28</v>
      </c>
      <c r="J106" s="30"/>
      <c r="K106" s="29" t="s">
        <v>39</v>
      </c>
      <c r="L106" s="30"/>
      <c r="M106" s="32" t="s">
        <v>30</v>
      </c>
      <c r="N106" s="57"/>
      <c r="O106" s="33">
        <v>2E-3</v>
      </c>
      <c r="P106" s="34"/>
      <c r="Q106" s="35" t="s">
        <v>227</v>
      </c>
      <c r="R106" s="36"/>
      <c r="S106" s="37">
        <v>45800</v>
      </c>
      <c r="T106" s="38"/>
      <c r="U106" s="9">
        <f>DATE(AD106-1,AC106,AB106)</f>
        <v>45435</v>
      </c>
      <c r="V106" s="6" t="s">
        <v>228</v>
      </c>
      <c r="W106" s="1">
        <f t="shared" ca="1" si="19"/>
        <v>-215</v>
      </c>
      <c r="X106" s="16" t="str">
        <f t="shared" ca="1" si="25"/>
        <v>SI</v>
      </c>
      <c r="Y106" s="12" t="str">
        <f>IF(AND($Z$1&gt;=U106,$Z$1&lt;=S106),"OK","NO")</f>
        <v>NO</v>
      </c>
      <c r="Z106" s="14" t="s">
        <v>188</v>
      </c>
      <c r="AA106" s="15">
        <f t="shared" ca="1" si="26"/>
        <v>-215</v>
      </c>
      <c r="AB106" s="7">
        <f>DAY(S106)</f>
        <v>23</v>
      </c>
      <c r="AC106">
        <f>MONTH(S106)</f>
        <v>5</v>
      </c>
      <c r="AD106">
        <f>YEAR(S106)</f>
        <v>2025</v>
      </c>
    </row>
    <row r="107" spans="1:30" ht="18" x14ac:dyDescent="0.2">
      <c r="A107" s="27" t="s">
        <v>188</v>
      </c>
      <c r="B107" s="31"/>
      <c r="C107" s="27"/>
      <c r="D107" s="31"/>
      <c r="E107" s="27"/>
      <c r="F107" s="31"/>
      <c r="G107" s="27" t="s">
        <v>41</v>
      </c>
      <c r="H107" s="28"/>
      <c r="I107" s="29" t="s">
        <v>28</v>
      </c>
      <c r="J107" s="30"/>
      <c r="K107" s="29" t="s">
        <v>40</v>
      </c>
      <c r="L107" s="30"/>
      <c r="M107" s="32" t="s">
        <v>30</v>
      </c>
      <c r="N107" s="57"/>
      <c r="O107" s="33">
        <v>2E-3</v>
      </c>
      <c r="P107" s="34"/>
      <c r="Q107" s="55" t="s">
        <v>223</v>
      </c>
      <c r="R107" s="56"/>
      <c r="S107" s="37">
        <v>44674</v>
      </c>
      <c r="T107" s="38"/>
      <c r="U107" s="9">
        <f t="shared" si="20"/>
        <v>44309</v>
      </c>
      <c r="V107" s="6" t="s">
        <v>225</v>
      </c>
      <c r="W107" s="1">
        <f t="shared" ca="1" si="19"/>
        <v>-1341</v>
      </c>
      <c r="X107" s="16" t="str">
        <f t="shared" ca="1" si="25"/>
        <v>NO</v>
      </c>
      <c r="Y107" s="12" t="str">
        <f t="shared" si="21"/>
        <v>NO</v>
      </c>
      <c r="Z107" s="14" t="s">
        <v>126</v>
      </c>
      <c r="AA107" s="15">
        <f t="shared" ca="1" si="26"/>
        <v>-1341</v>
      </c>
      <c r="AB107" s="7">
        <f t="shared" si="22"/>
        <v>23</v>
      </c>
      <c r="AC107">
        <f t="shared" si="23"/>
        <v>4</v>
      </c>
      <c r="AD107">
        <f t="shared" si="24"/>
        <v>2022</v>
      </c>
    </row>
    <row r="108" spans="1:30" ht="18" x14ac:dyDescent="0.2">
      <c r="A108" s="27" t="s">
        <v>188</v>
      </c>
      <c r="B108" s="31"/>
      <c r="C108" s="27"/>
      <c r="D108" s="31"/>
      <c r="E108" s="27"/>
      <c r="F108" s="31"/>
      <c r="G108" s="27" t="s">
        <v>41</v>
      </c>
      <c r="H108" s="28"/>
      <c r="I108" s="29" t="s">
        <v>28</v>
      </c>
      <c r="J108" s="30"/>
      <c r="K108" s="29" t="s">
        <v>40</v>
      </c>
      <c r="L108" s="30"/>
      <c r="M108" s="32" t="s">
        <v>30</v>
      </c>
      <c r="N108" s="57"/>
      <c r="O108" s="33">
        <v>2E-3</v>
      </c>
      <c r="P108" s="34"/>
      <c r="Q108" s="29" t="s">
        <v>222</v>
      </c>
      <c r="R108" s="30"/>
      <c r="S108" s="37">
        <v>45055</v>
      </c>
      <c r="T108" s="38"/>
      <c r="U108" s="9">
        <f>DATE(AD108-1,AC108,AB108)</f>
        <v>44690</v>
      </c>
      <c r="V108" s="6" t="s">
        <v>225</v>
      </c>
      <c r="W108" s="1">
        <f t="shared" ca="1" si="19"/>
        <v>-960</v>
      </c>
      <c r="X108" s="16" t="str">
        <f t="shared" ca="1" si="25"/>
        <v>NO</v>
      </c>
      <c r="Y108" s="12" t="str">
        <f>IF(AND($Z$1&gt;=U108,$Z$1&lt;=S108),"OK","NO")</f>
        <v>NO</v>
      </c>
      <c r="Z108" s="14" t="s">
        <v>126</v>
      </c>
      <c r="AA108" s="15">
        <f t="shared" ca="1" si="26"/>
        <v>-960</v>
      </c>
      <c r="AB108" s="7">
        <f>DAY(S108)</f>
        <v>9</v>
      </c>
      <c r="AC108">
        <f>MONTH(S108)</f>
        <v>5</v>
      </c>
      <c r="AD108">
        <f>YEAR(S108)</f>
        <v>2023</v>
      </c>
    </row>
    <row r="109" spans="1:30" ht="18" x14ac:dyDescent="0.2">
      <c r="A109" s="27" t="s">
        <v>188</v>
      </c>
      <c r="B109" s="31"/>
      <c r="C109" s="27"/>
      <c r="D109" s="31"/>
      <c r="E109" s="27"/>
      <c r="F109" s="31"/>
      <c r="G109" s="27" t="s">
        <v>41</v>
      </c>
      <c r="H109" s="28"/>
      <c r="I109" s="29" t="s">
        <v>28</v>
      </c>
      <c r="J109" s="30"/>
      <c r="K109" s="29" t="s">
        <v>40</v>
      </c>
      <c r="L109" s="30"/>
      <c r="M109" s="32" t="s">
        <v>30</v>
      </c>
      <c r="N109" s="57"/>
      <c r="O109" s="33">
        <v>2E-3</v>
      </c>
      <c r="P109" s="34"/>
      <c r="Q109" s="29" t="s">
        <v>93</v>
      </c>
      <c r="R109" s="30"/>
      <c r="S109" s="37">
        <v>45422</v>
      </c>
      <c r="T109" s="38"/>
      <c r="U109" s="9">
        <f t="shared" si="20"/>
        <v>45056</v>
      </c>
      <c r="V109" s="6" t="s">
        <v>225</v>
      </c>
      <c r="W109" s="1">
        <f t="shared" ca="1" si="19"/>
        <v>-593</v>
      </c>
      <c r="X109" s="16" t="str">
        <f t="shared" ca="1" si="25"/>
        <v>NO</v>
      </c>
      <c r="Y109" s="12" t="str">
        <f t="shared" si="21"/>
        <v>NO</v>
      </c>
      <c r="Z109" s="14" t="s">
        <v>126</v>
      </c>
      <c r="AA109" s="15">
        <f t="shared" ca="1" si="26"/>
        <v>-593</v>
      </c>
      <c r="AB109" s="7">
        <f t="shared" si="22"/>
        <v>10</v>
      </c>
      <c r="AC109">
        <f t="shared" si="23"/>
        <v>5</v>
      </c>
      <c r="AD109">
        <f t="shared" si="24"/>
        <v>2024</v>
      </c>
    </row>
    <row r="110" spans="1:30" ht="18" x14ac:dyDescent="0.2">
      <c r="A110" s="27" t="s">
        <v>126</v>
      </c>
      <c r="B110" s="31"/>
      <c r="C110" s="27"/>
      <c r="D110" s="31"/>
      <c r="E110" s="27"/>
      <c r="F110" s="31"/>
      <c r="G110" s="27" t="s">
        <v>41</v>
      </c>
      <c r="H110" s="28"/>
      <c r="I110" s="29" t="s">
        <v>28</v>
      </c>
      <c r="J110" s="30"/>
      <c r="K110" s="29" t="s">
        <v>40</v>
      </c>
      <c r="L110" s="30"/>
      <c r="M110" s="32" t="s">
        <v>30</v>
      </c>
      <c r="N110" s="57"/>
      <c r="O110" s="33">
        <v>2E-3</v>
      </c>
      <c r="P110" s="34"/>
      <c r="Q110" s="35" t="s">
        <v>224</v>
      </c>
      <c r="R110" s="36"/>
      <c r="S110" s="37">
        <v>45800</v>
      </c>
      <c r="T110" s="38"/>
      <c r="U110" s="9">
        <f>DATE(AD110-1,AC110,AB110)</f>
        <v>45435</v>
      </c>
      <c r="V110" s="6" t="s">
        <v>225</v>
      </c>
      <c r="W110" s="1">
        <f t="shared" ca="1" si="19"/>
        <v>-215</v>
      </c>
      <c r="X110" s="16" t="str">
        <f t="shared" ca="1" si="25"/>
        <v>SI</v>
      </c>
      <c r="Y110" s="12" t="str">
        <f>IF(AND($Z$1&gt;=U110,$Z$1&lt;=S110),"OK","NO")</f>
        <v>NO</v>
      </c>
      <c r="Z110" s="14" t="s">
        <v>188</v>
      </c>
      <c r="AA110" s="15">
        <f t="shared" ca="1" si="26"/>
        <v>-215</v>
      </c>
      <c r="AB110" s="7">
        <f>DAY(S110)</f>
        <v>23</v>
      </c>
      <c r="AC110">
        <f>MONTH(S110)</f>
        <v>5</v>
      </c>
      <c r="AD110">
        <f>YEAR(S110)</f>
        <v>2025</v>
      </c>
    </row>
    <row r="111" spans="1:30" ht="18" x14ac:dyDescent="0.2">
      <c r="A111" s="27" t="s">
        <v>188</v>
      </c>
      <c r="B111" s="31"/>
      <c r="C111" s="27"/>
      <c r="D111" s="31"/>
      <c r="E111" s="27"/>
      <c r="F111" s="31"/>
      <c r="G111" s="27" t="s">
        <v>27</v>
      </c>
      <c r="H111" s="28"/>
      <c r="I111" s="29" t="s">
        <v>43</v>
      </c>
      <c r="J111" s="30"/>
      <c r="K111" s="29">
        <v>32950307</v>
      </c>
      <c r="L111" s="30"/>
      <c r="M111" s="32" t="s">
        <v>45</v>
      </c>
      <c r="N111" s="57"/>
      <c r="O111" s="33">
        <v>2.9999999999999997E-4</v>
      </c>
      <c r="P111" s="34"/>
      <c r="Q111" s="55" t="s">
        <v>178</v>
      </c>
      <c r="R111" s="56"/>
      <c r="S111" s="37">
        <v>45037</v>
      </c>
      <c r="T111" s="38"/>
      <c r="U111" s="9">
        <f t="shared" si="20"/>
        <v>44672</v>
      </c>
      <c r="V111" s="6" t="s">
        <v>179</v>
      </c>
      <c r="W111" s="1">
        <f t="shared" ca="1" si="19"/>
        <v>-978</v>
      </c>
      <c r="X111" s="16" t="str">
        <f t="shared" ca="1" si="25"/>
        <v>NO</v>
      </c>
      <c r="Y111" s="12" t="str">
        <f t="shared" si="21"/>
        <v>NO</v>
      </c>
      <c r="Z111" s="14" t="s">
        <v>126</v>
      </c>
      <c r="AA111" s="15">
        <f t="shared" ca="1" si="26"/>
        <v>-978</v>
      </c>
      <c r="AB111" s="7">
        <f t="shared" si="22"/>
        <v>21</v>
      </c>
      <c r="AC111">
        <f t="shared" si="23"/>
        <v>4</v>
      </c>
      <c r="AD111">
        <f t="shared" si="24"/>
        <v>2023</v>
      </c>
    </row>
    <row r="112" spans="1:30" ht="18" x14ac:dyDescent="0.2">
      <c r="A112" s="27" t="s">
        <v>188</v>
      </c>
      <c r="B112" s="31"/>
      <c r="C112" s="27"/>
      <c r="D112" s="31"/>
      <c r="E112" s="27"/>
      <c r="F112" s="31"/>
      <c r="G112" s="27" t="s">
        <v>27</v>
      </c>
      <c r="H112" s="28"/>
      <c r="I112" s="29" t="s">
        <v>43</v>
      </c>
      <c r="J112" s="30"/>
      <c r="K112" s="29">
        <v>32950307</v>
      </c>
      <c r="L112" s="30"/>
      <c r="M112" s="32" t="s">
        <v>45</v>
      </c>
      <c r="N112" s="57"/>
      <c r="O112" s="33">
        <v>2.9999999999999997E-4</v>
      </c>
      <c r="P112" s="34"/>
      <c r="Q112" s="55" t="s">
        <v>177</v>
      </c>
      <c r="R112" s="56"/>
      <c r="S112" s="37">
        <v>45403</v>
      </c>
      <c r="T112" s="38"/>
      <c r="U112" s="9">
        <f t="shared" si="20"/>
        <v>45037</v>
      </c>
      <c r="V112" s="6" t="s">
        <v>179</v>
      </c>
      <c r="W112" s="1">
        <f t="shared" ref="W112:W143" ca="1" si="27">S112-$G$1</f>
        <v>-612</v>
      </c>
      <c r="X112" s="16" t="str">
        <f t="shared" ca="1" si="25"/>
        <v>NO</v>
      </c>
      <c r="Y112" s="12" t="str">
        <f t="shared" si="21"/>
        <v>NO</v>
      </c>
      <c r="Z112" s="14" t="s">
        <v>126</v>
      </c>
      <c r="AA112" s="15">
        <f t="shared" ca="1" si="26"/>
        <v>-612</v>
      </c>
      <c r="AB112" s="7">
        <f t="shared" si="22"/>
        <v>21</v>
      </c>
      <c r="AC112">
        <f t="shared" si="23"/>
        <v>4</v>
      </c>
      <c r="AD112">
        <f t="shared" si="24"/>
        <v>2024</v>
      </c>
    </row>
    <row r="113" spans="1:30" ht="18" x14ac:dyDescent="0.2">
      <c r="A113" s="27" t="s">
        <v>126</v>
      </c>
      <c r="B113" s="31"/>
      <c r="C113" s="27"/>
      <c r="D113" s="31"/>
      <c r="E113" s="27"/>
      <c r="F113" s="31"/>
      <c r="G113" s="27" t="s">
        <v>27</v>
      </c>
      <c r="H113" s="28"/>
      <c r="I113" s="29" t="s">
        <v>43</v>
      </c>
      <c r="J113" s="30"/>
      <c r="K113" s="29">
        <v>32950307</v>
      </c>
      <c r="L113" s="30"/>
      <c r="M113" s="32" t="s">
        <v>45</v>
      </c>
      <c r="N113" s="57"/>
      <c r="O113" s="33">
        <v>2.9999999999999997E-4</v>
      </c>
      <c r="P113" s="34"/>
      <c r="Q113" s="35" t="s">
        <v>108</v>
      </c>
      <c r="R113" s="36"/>
      <c r="S113" s="37">
        <v>45773</v>
      </c>
      <c r="T113" s="38"/>
      <c r="U113" s="9">
        <f t="shared" si="20"/>
        <v>45408</v>
      </c>
      <c r="V113" s="6" t="s">
        <v>179</v>
      </c>
      <c r="W113" s="1">
        <f t="shared" ca="1" si="27"/>
        <v>-242</v>
      </c>
      <c r="X113" s="16" t="str">
        <f t="shared" ca="1" si="25"/>
        <v>NO</v>
      </c>
      <c r="Y113" s="12" t="str">
        <f t="shared" si="21"/>
        <v>NO</v>
      </c>
      <c r="Z113" s="14" t="s">
        <v>126</v>
      </c>
      <c r="AA113" s="15">
        <f t="shared" ca="1" si="26"/>
        <v>-242</v>
      </c>
      <c r="AB113" s="7">
        <f t="shared" si="22"/>
        <v>26</v>
      </c>
      <c r="AC113">
        <f t="shared" si="23"/>
        <v>4</v>
      </c>
      <c r="AD113">
        <f t="shared" si="24"/>
        <v>2025</v>
      </c>
    </row>
    <row r="114" spans="1:30" ht="18" x14ac:dyDescent="0.2">
      <c r="A114" s="27" t="s">
        <v>126</v>
      </c>
      <c r="B114" s="31"/>
      <c r="C114" s="27"/>
      <c r="D114" s="31"/>
      <c r="E114" s="27"/>
      <c r="F114" s="31"/>
      <c r="G114" s="27" t="s">
        <v>27</v>
      </c>
      <c r="H114" s="28"/>
      <c r="I114" s="29" t="s">
        <v>43</v>
      </c>
      <c r="J114" s="30"/>
      <c r="K114" s="29">
        <v>32950307</v>
      </c>
      <c r="L114" s="30"/>
      <c r="M114" s="32" t="s">
        <v>45</v>
      </c>
      <c r="N114" s="57"/>
      <c r="O114" s="33">
        <v>2.9999999999999997E-4</v>
      </c>
      <c r="P114" s="34"/>
      <c r="Q114" s="35" t="s">
        <v>274</v>
      </c>
      <c r="R114" s="36"/>
      <c r="S114" s="37">
        <v>46142</v>
      </c>
      <c r="T114" s="38"/>
      <c r="U114" s="9">
        <f>DATE(AD114-1,AC114,AB114)</f>
        <v>45777</v>
      </c>
      <c r="V114" s="6" t="s">
        <v>179</v>
      </c>
      <c r="W114" s="1">
        <f t="shared" ca="1" si="27"/>
        <v>127</v>
      </c>
      <c r="X114" s="16" t="str">
        <f t="shared" ca="1" si="25"/>
        <v>NO</v>
      </c>
      <c r="Y114" s="12" t="str">
        <f>IF(AND($Z$1&gt;=U114,$Z$1&lt;=S114),"OK","NO")</f>
        <v>OK</v>
      </c>
      <c r="Z114" s="14" t="s">
        <v>188</v>
      </c>
      <c r="AA114" s="15">
        <f t="shared" ca="1" si="26"/>
        <v>127</v>
      </c>
      <c r="AB114" s="7">
        <f>DAY(S114)</f>
        <v>30</v>
      </c>
      <c r="AC114">
        <f>MONTH(S114)</f>
        <v>4</v>
      </c>
      <c r="AD114">
        <f>YEAR(S114)</f>
        <v>2026</v>
      </c>
    </row>
    <row r="115" spans="1:30" ht="18" x14ac:dyDescent="0.2">
      <c r="A115" s="27" t="s">
        <v>188</v>
      </c>
      <c r="B115" s="31"/>
      <c r="C115" s="27"/>
      <c r="D115" s="31"/>
      <c r="E115" s="27"/>
      <c r="F115" s="31"/>
      <c r="G115" s="27" t="s">
        <v>27</v>
      </c>
      <c r="H115" s="28"/>
      <c r="I115" s="29" t="s">
        <v>43</v>
      </c>
      <c r="J115" s="30"/>
      <c r="K115" s="29">
        <v>32950260</v>
      </c>
      <c r="L115" s="30"/>
      <c r="M115" s="32" t="s">
        <v>45</v>
      </c>
      <c r="N115" s="57"/>
      <c r="O115" s="33">
        <v>2.9999999999999997E-4</v>
      </c>
      <c r="P115" s="34"/>
      <c r="Q115" s="55" t="s">
        <v>176</v>
      </c>
      <c r="R115" s="56"/>
      <c r="S115" s="37">
        <v>45037</v>
      </c>
      <c r="T115" s="38"/>
      <c r="U115" s="9">
        <f t="shared" si="20"/>
        <v>44672</v>
      </c>
      <c r="V115" s="6" t="s">
        <v>175</v>
      </c>
      <c r="W115" s="1">
        <f t="shared" ca="1" si="27"/>
        <v>-978</v>
      </c>
      <c r="X115" s="16" t="str">
        <f t="shared" ca="1" si="25"/>
        <v>NO</v>
      </c>
      <c r="Y115" s="12" t="str">
        <f t="shared" si="21"/>
        <v>NO</v>
      </c>
      <c r="Z115" s="14" t="s">
        <v>126</v>
      </c>
      <c r="AA115" s="15">
        <f t="shared" ca="1" si="26"/>
        <v>-978</v>
      </c>
      <c r="AB115" s="7">
        <f t="shared" si="22"/>
        <v>21</v>
      </c>
      <c r="AC115">
        <f t="shared" si="23"/>
        <v>4</v>
      </c>
      <c r="AD115">
        <f t="shared" si="24"/>
        <v>2023</v>
      </c>
    </row>
    <row r="116" spans="1:30" ht="18" x14ac:dyDescent="0.2">
      <c r="A116" s="27" t="s">
        <v>126</v>
      </c>
      <c r="B116" s="31"/>
      <c r="C116" s="27"/>
      <c r="D116" s="31"/>
      <c r="E116" s="27"/>
      <c r="F116" s="31"/>
      <c r="G116" s="27" t="s">
        <v>27</v>
      </c>
      <c r="H116" s="28"/>
      <c r="I116" s="29" t="s">
        <v>43</v>
      </c>
      <c r="J116" s="30"/>
      <c r="K116" s="29">
        <v>32950260</v>
      </c>
      <c r="L116" s="30"/>
      <c r="M116" s="32" t="s">
        <v>45</v>
      </c>
      <c r="N116" s="57"/>
      <c r="O116" s="33">
        <v>2.9999999999999997E-4</v>
      </c>
      <c r="P116" s="34"/>
      <c r="Q116" s="55" t="s">
        <v>174</v>
      </c>
      <c r="R116" s="56"/>
      <c r="S116" s="37">
        <v>45403</v>
      </c>
      <c r="T116" s="38"/>
      <c r="U116" s="9">
        <f t="shared" si="20"/>
        <v>45037</v>
      </c>
      <c r="V116" s="6" t="s">
        <v>175</v>
      </c>
      <c r="W116" s="1">
        <f t="shared" ca="1" si="27"/>
        <v>-612</v>
      </c>
      <c r="X116" s="16" t="str">
        <f t="shared" ca="1" si="25"/>
        <v>NO</v>
      </c>
      <c r="Y116" s="12" t="str">
        <f t="shared" si="21"/>
        <v>NO</v>
      </c>
      <c r="Z116" s="14" t="s">
        <v>126</v>
      </c>
      <c r="AA116" s="15">
        <f t="shared" ca="1" si="26"/>
        <v>-612</v>
      </c>
      <c r="AB116" s="7">
        <f t="shared" si="22"/>
        <v>21</v>
      </c>
      <c r="AC116">
        <f t="shared" si="23"/>
        <v>4</v>
      </c>
      <c r="AD116">
        <f t="shared" si="24"/>
        <v>2024</v>
      </c>
    </row>
    <row r="117" spans="1:30" ht="18" x14ac:dyDescent="0.2">
      <c r="A117" s="27" t="s">
        <v>126</v>
      </c>
      <c r="B117" s="31"/>
      <c r="C117" s="27"/>
      <c r="D117" s="31"/>
      <c r="E117" s="27"/>
      <c r="F117" s="31"/>
      <c r="G117" s="27" t="s">
        <v>27</v>
      </c>
      <c r="H117" s="28"/>
      <c r="I117" s="29" t="s">
        <v>43</v>
      </c>
      <c r="J117" s="30"/>
      <c r="K117" s="29">
        <v>32950260</v>
      </c>
      <c r="L117" s="30"/>
      <c r="M117" s="32" t="s">
        <v>45</v>
      </c>
      <c r="N117" s="57"/>
      <c r="O117" s="33">
        <v>2.9999999999999997E-4</v>
      </c>
      <c r="P117" s="34"/>
      <c r="Q117" s="35" t="s">
        <v>107</v>
      </c>
      <c r="R117" s="36"/>
      <c r="S117" s="37">
        <v>45773</v>
      </c>
      <c r="T117" s="38"/>
      <c r="U117" s="9">
        <f t="shared" si="20"/>
        <v>45408</v>
      </c>
      <c r="V117" s="6" t="s">
        <v>175</v>
      </c>
      <c r="W117" s="1">
        <f t="shared" ca="1" si="27"/>
        <v>-242</v>
      </c>
      <c r="X117" s="16" t="str">
        <f t="shared" ca="1" si="25"/>
        <v>NO</v>
      </c>
      <c r="Y117" s="12" t="str">
        <f t="shared" si="21"/>
        <v>NO</v>
      </c>
      <c r="Z117" s="14" t="s">
        <v>126</v>
      </c>
      <c r="AA117" s="15">
        <f t="shared" ca="1" si="26"/>
        <v>-242</v>
      </c>
      <c r="AB117" s="7">
        <f t="shared" si="22"/>
        <v>26</v>
      </c>
      <c r="AC117">
        <f t="shared" si="23"/>
        <v>4</v>
      </c>
      <c r="AD117">
        <f t="shared" si="24"/>
        <v>2025</v>
      </c>
    </row>
    <row r="118" spans="1:30" ht="18" x14ac:dyDescent="0.2">
      <c r="A118" s="27" t="s">
        <v>126</v>
      </c>
      <c r="B118" s="31"/>
      <c r="C118" s="27"/>
      <c r="D118" s="31"/>
      <c r="E118" s="27"/>
      <c r="F118" s="31"/>
      <c r="G118" s="27" t="s">
        <v>27</v>
      </c>
      <c r="H118" s="28"/>
      <c r="I118" s="29" t="s">
        <v>43</v>
      </c>
      <c r="J118" s="30"/>
      <c r="K118" s="29">
        <v>32950260</v>
      </c>
      <c r="L118" s="30"/>
      <c r="M118" s="32" t="s">
        <v>45</v>
      </c>
      <c r="N118" s="57"/>
      <c r="O118" s="33">
        <v>2.9999999999999997E-4</v>
      </c>
      <c r="P118" s="34"/>
      <c r="Q118" s="35" t="s">
        <v>272</v>
      </c>
      <c r="R118" s="36"/>
      <c r="S118" s="37">
        <v>46142</v>
      </c>
      <c r="T118" s="38"/>
      <c r="U118" s="9">
        <f>DATE(AD118-1,AC118,AB118)</f>
        <v>45777</v>
      </c>
      <c r="V118" s="6" t="s">
        <v>175</v>
      </c>
      <c r="W118" s="1">
        <f t="shared" ca="1" si="27"/>
        <v>127</v>
      </c>
      <c r="X118" s="16" t="str">
        <f t="shared" ca="1" si="25"/>
        <v>NO</v>
      </c>
      <c r="Y118" s="12" t="str">
        <f>IF(AND($Z$1&gt;=U118,$Z$1&lt;=S118),"OK","NO")</f>
        <v>OK</v>
      </c>
      <c r="Z118" s="14" t="s">
        <v>188</v>
      </c>
      <c r="AA118" s="15">
        <f t="shared" ca="1" si="26"/>
        <v>127</v>
      </c>
      <c r="AB118" s="7">
        <f>DAY(S118)</f>
        <v>30</v>
      </c>
      <c r="AC118">
        <f>MONTH(S118)</f>
        <v>4</v>
      </c>
      <c r="AD118">
        <f>YEAR(S118)</f>
        <v>2026</v>
      </c>
    </row>
    <row r="119" spans="1:30" ht="18" x14ac:dyDescent="0.2">
      <c r="A119" s="27" t="s">
        <v>188</v>
      </c>
      <c r="B119" s="31"/>
      <c r="C119" s="27"/>
      <c r="D119" s="31"/>
      <c r="E119" s="27"/>
      <c r="F119" s="31"/>
      <c r="G119" s="27" t="s">
        <v>27</v>
      </c>
      <c r="H119" s="28"/>
      <c r="I119" s="29" t="s">
        <v>43</v>
      </c>
      <c r="J119" s="30"/>
      <c r="K119" s="29">
        <v>32960081</v>
      </c>
      <c r="L119" s="30"/>
      <c r="M119" s="32" t="s">
        <v>45</v>
      </c>
      <c r="N119" s="57"/>
      <c r="O119" s="33">
        <v>2.9999999999999997E-4</v>
      </c>
      <c r="P119" s="34"/>
      <c r="Q119" s="55" t="s">
        <v>164</v>
      </c>
      <c r="R119" s="56"/>
      <c r="S119" s="37">
        <v>45037</v>
      </c>
      <c r="T119" s="38"/>
      <c r="U119" s="9">
        <f t="shared" si="20"/>
        <v>44672</v>
      </c>
      <c r="V119" s="6" t="s">
        <v>165</v>
      </c>
      <c r="W119" s="1">
        <f t="shared" ca="1" si="27"/>
        <v>-978</v>
      </c>
      <c r="X119" s="16" t="str">
        <f t="shared" ca="1" si="25"/>
        <v>NO</v>
      </c>
      <c r="Y119" s="12" t="str">
        <f t="shared" si="21"/>
        <v>NO</v>
      </c>
      <c r="Z119" s="14" t="s">
        <v>126</v>
      </c>
      <c r="AA119" s="15">
        <f t="shared" ca="1" si="26"/>
        <v>-978</v>
      </c>
      <c r="AB119" s="7">
        <f t="shared" si="22"/>
        <v>21</v>
      </c>
      <c r="AC119">
        <f t="shared" si="23"/>
        <v>4</v>
      </c>
      <c r="AD119">
        <f t="shared" si="24"/>
        <v>2023</v>
      </c>
    </row>
    <row r="120" spans="1:30" ht="18" x14ac:dyDescent="0.2">
      <c r="A120" s="27" t="s">
        <v>126</v>
      </c>
      <c r="B120" s="31"/>
      <c r="C120" s="27"/>
      <c r="D120" s="31"/>
      <c r="E120" s="27"/>
      <c r="F120" s="31"/>
      <c r="G120" s="27" t="s">
        <v>27</v>
      </c>
      <c r="H120" s="28"/>
      <c r="I120" s="29" t="s">
        <v>43</v>
      </c>
      <c r="J120" s="30"/>
      <c r="K120" s="29">
        <v>32960081</v>
      </c>
      <c r="L120" s="30"/>
      <c r="M120" s="32" t="s">
        <v>45</v>
      </c>
      <c r="N120" s="57"/>
      <c r="O120" s="33">
        <v>2.9999999999999997E-4</v>
      </c>
      <c r="P120" s="34"/>
      <c r="Q120" s="55" t="s">
        <v>163</v>
      </c>
      <c r="R120" s="56"/>
      <c r="S120" s="37">
        <v>45403</v>
      </c>
      <c r="T120" s="38"/>
      <c r="U120" s="9">
        <f t="shared" si="20"/>
        <v>45037</v>
      </c>
      <c r="V120" s="6" t="s">
        <v>165</v>
      </c>
      <c r="W120" s="1">
        <f t="shared" ca="1" si="27"/>
        <v>-612</v>
      </c>
      <c r="X120" s="16" t="str">
        <f t="shared" ca="1" si="25"/>
        <v>NO</v>
      </c>
      <c r="Y120" s="12" t="str">
        <f>IF(AND($Z$1&gt;=U120,$Z$1&lt;=S120),"OK","NO")</f>
        <v>NO</v>
      </c>
      <c r="Z120" s="14" t="s">
        <v>126</v>
      </c>
      <c r="AA120" s="15">
        <f t="shared" ca="1" si="26"/>
        <v>-612</v>
      </c>
      <c r="AB120" s="7">
        <f t="shared" si="22"/>
        <v>21</v>
      </c>
      <c r="AC120">
        <f t="shared" si="23"/>
        <v>4</v>
      </c>
      <c r="AD120">
        <f t="shared" si="24"/>
        <v>2024</v>
      </c>
    </row>
    <row r="121" spans="1:30" ht="18" x14ac:dyDescent="0.2">
      <c r="A121" s="27" t="s">
        <v>126</v>
      </c>
      <c r="B121" s="31"/>
      <c r="C121" s="27"/>
      <c r="D121" s="31"/>
      <c r="E121" s="27"/>
      <c r="F121" s="31"/>
      <c r="G121" s="27" t="s">
        <v>27</v>
      </c>
      <c r="H121" s="28"/>
      <c r="I121" s="29" t="s">
        <v>43</v>
      </c>
      <c r="J121" s="30"/>
      <c r="K121" s="29">
        <v>32960081</v>
      </c>
      <c r="L121" s="30"/>
      <c r="M121" s="32" t="s">
        <v>45</v>
      </c>
      <c r="N121" s="57"/>
      <c r="O121" s="33">
        <v>2.9999999999999997E-4</v>
      </c>
      <c r="P121" s="34"/>
      <c r="Q121" s="35" t="s">
        <v>106</v>
      </c>
      <c r="R121" s="36"/>
      <c r="S121" s="37">
        <v>45773</v>
      </c>
      <c r="T121" s="38"/>
      <c r="U121" s="9">
        <f t="shared" si="20"/>
        <v>45408</v>
      </c>
      <c r="V121" s="6" t="s">
        <v>165</v>
      </c>
      <c r="W121" s="1">
        <f t="shared" ca="1" si="27"/>
        <v>-242</v>
      </c>
      <c r="X121" s="16" t="str">
        <f t="shared" ca="1" si="25"/>
        <v>NO</v>
      </c>
      <c r="Y121" s="12" t="str">
        <f t="shared" si="21"/>
        <v>NO</v>
      </c>
      <c r="Z121" s="14" t="s">
        <v>126</v>
      </c>
      <c r="AA121" s="15">
        <f t="shared" ca="1" si="26"/>
        <v>-242</v>
      </c>
      <c r="AB121" s="7">
        <f t="shared" si="22"/>
        <v>26</v>
      </c>
      <c r="AC121">
        <f t="shared" si="23"/>
        <v>4</v>
      </c>
      <c r="AD121">
        <f t="shared" si="24"/>
        <v>2025</v>
      </c>
    </row>
    <row r="122" spans="1:30" ht="18" x14ac:dyDescent="0.2">
      <c r="A122" s="27" t="s">
        <v>126</v>
      </c>
      <c r="B122" s="31"/>
      <c r="C122" s="27"/>
      <c r="D122" s="31"/>
      <c r="E122" s="27"/>
      <c r="F122" s="31"/>
      <c r="G122" s="27" t="s">
        <v>27</v>
      </c>
      <c r="H122" s="28"/>
      <c r="I122" s="29" t="s">
        <v>43</v>
      </c>
      <c r="J122" s="30"/>
      <c r="K122" s="29">
        <v>32960081</v>
      </c>
      <c r="L122" s="30"/>
      <c r="M122" s="32" t="s">
        <v>45</v>
      </c>
      <c r="N122" s="57"/>
      <c r="O122" s="33">
        <v>2.9999999999999997E-4</v>
      </c>
      <c r="P122" s="34"/>
      <c r="Q122" s="35" t="s">
        <v>273</v>
      </c>
      <c r="R122" s="36"/>
      <c r="S122" s="37">
        <v>46142</v>
      </c>
      <c r="T122" s="38"/>
      <c r="U122" s="9">
        <f>DATE(AD122-1,AC122,AB122)</f>
        <v>45777</v>
      </c>
      <c r="V122" s="6" t="s">
        <v>165</v>
      </c>
      <c r="W122" s="1">
        <f t="shared" ca="1" si="27"/>
        <v>127</v>
      </c>
      <c r="X122" s="16" t="str">
        <f t="shared" ca="1" si="25"/>
        <v>NO</v>
      </c>
      <c r="Y122" s="12" t="str">
        <f>IF(AND($Z$1&gt;=U122,$Z$1&lt;=S122),"OK","NO")</f>
        <v>OK</v>
      </c>
      <c r="Z122" s="14" t="s">
        <v>188</v>
      </c>
      <c r="AA122" s="15">
        <f t="shared" ca="1" si="26"/>
        <v>127</v>
      </c>
      <c r="AB122" s="7">
        <f>DAY(S122)</f>
        <v>30</v>
      </c>
      <c r="AC122">
        <f>MONTH(S122)</f>
        <v>4</v>
      </c>
      <c r="AD122">
        <f>YEAR(S122)</f>
        <v>2026</v>
      </c>
    </row>
    <row r="123" spans="1:30" ht="28.5" x14ac:dyDescent="0.2">
      <c r="A123" s="27" t="s">
        <v>188</v>
      </c>
      <c r="B123" s="31"/>
      <c r="C123" s="27"/>
      <c r="D123" s="31"/>
      <c r="E123" s="27"/>
      <c r="F123" s="31"/>
      <c r="G123" s="86" t="s">
        <v>27</v>
      </c>
      <c r="H123" s="87"/>
      <c r="I123" s="52" t="s">
        <v>43</v>
      </c>
      <c r="J123" s="53"/>
      <c r="K123" s="52">
        <v>32960097</v>
      </c>
      <c r="L123" s="53"/>
      <c r="M123" s="54" t="s">
        <v>45</v>
      </c>
      <c r="N123" s="106"/>
      <c r="O123" s="47">
        <v>2.9999999999999997E-4</v>
      </c>
      <c r="P123" s="48"/>
      <c r="Q123" s="52" t="s">
        <v>79</v>
      </c>
      <c r="R123" s="53"/>
      <c r="S123" s="82">
        <v>45354</v>
      </c>
      <c r="T123" s="89"/>
      <c r="U123" s="10">
        <f t="shared" si="20"/>
        <v>44988</v>
      </c>
      <c r="V123" s="8" t="s">
        <v>207</v>
      </c>
      <c r="W123" s="1">
        <f t="shared" ca="1" si="27"/>
        <v>-661</v>
      </c>
      <c r="X123" s="16" t="str">
        <f t="shared" ca="1" si="25"/>
        <v>NO</v>
      </c>
      <c r="Y123" s="12" t="str">
        <f t="shared" si="21"/>
        <v>NO</v>
      </c>
      <c r="Z123" s="14" t="s">
        <v>219</v>
      </c>
      <c r="AA123" s="15">
        <f t="shared" ca="1" si="26"/>
        <v>-661</v>
      </c>
      <c r="AB123" s="7">
        <f t="shared" si="22"/>
        <v>3</v>
      </c>
      <c r="AC123">
        <f t="shared" si="23"/>
        <v>3</v>
      </c>
      <c r="AD123">
        <f t="shared" si="24"/>
        <v>2024</v>
      </c>
    </row>
    <row r="124" spans="1:30" ht="18" x14ac:dyDescent="0.2">
      <c r="A124" s="27" t="s">
        <v>126</v>
      </c>
      <c r="B124" s="31"/>
      <c r="C124" s="27"/>
      <c r="D124" s="31"/>
      <c r="E124" s="27"/>
      <c r="F124" s="31"/>
      <c r="G124" s="41" t="s">
        <v>27</v>
      </c>
      <c r="H124" s="42"/>
      <c r="I124" s="51" t="s">
        <v>43</v>
      </c>
      <c r="J124" s="40"/>
      <c r="K124" s="51" t="s">
        <v>102</v>
      </c>
      <c r="L124" s="40"/>
      <c r="M124" s="39" t="s">
        <v>45</v>
      </c>
      <c r="N124" s="58"/>
      <c r="O124" s="43">
        <v>2.9999999999999997E-4</v>
      </c>
      <c r="P124" s="44"/>
      <c r="Q124" s="59" t="s">
        <v>189</v>
      </c>
      <c r="R124" s="60"/>
      <c r="S124" s="49">
        <v>45690</v>
      </c>
      <c r="T124" s="50"/>
      <c r="U124" s="9">
        <f t="shared" si="20"/>
        <v>45324</v>
      </c>
      <c r="V124" s="6" t="s">
        <v>182</v>
      </c>
      <c r="W124" s="1">
        <f t="shared" ca="1" si="27"/>
        <v>-325</v>
      </c>
      <c r="X124" s="16" t="str">
        <f t="shared" ca="1" si="25"/>
        <v>NO</v>
      </c>
      <c r="Y124" s="12" t="str">
        <f>IF(AND($Z$1&gt;=U124,$Z$1&lt;=S124),"OK","NO")</f>
        <v>NO</v>
      </c>
      <c r="Z124" s="14" t="s">
        <v>126</v>
      </c>
      <c r="AA124" s="15">
        <f t="shared" ca="1" si="26"/>
        <v>-325</v>
      </c>
      <c r="AB124" s="7">
        <f t="shared" si="22"/>
        <v>2</v>
      </c>
      <c r="AC124">
        <f t="shared" si="23"/>
        <v>2</v>
      </c>
      <c r="AD124">
        <f t="shared" si="24"/>
        <v>2025</v>
      </c>
    </row>
    <row r="125" spans="1:30" ht="18" x14ac:dyDescent="0.2">
      <c r="A125" s="27" t="s">
        <v>126</v>
      </c>
      <c r="B125" s="31"/>
      <c r="C125" s="27"/>
      <c r="D125" s="31"/>
      <c r="E125" s="27"/>
      <c r="F125" s="31"/>
      <c r="G125" s="41" t="s">
        <v>27</v>
      </c>
      <c r="H125" s="42"/>
      <c r="I125" s="51" t="s">
        <v>43</v>
      </c>
      <c r="J125" s="40"/>
      <c r="K125" s="51" t="s">
        <v>102</v>
      </c>
      <c r="L125" s="40"/>
      <c r="M125" s="39" t="s">
        <v>45</v>
      </c>
      <c r="N125" s="58"/>
      <c r="O125" s="43">
        <v>2.9999999999999997E-4</v>
      </c>
      <c r="P125" s="44"/>
      <c r="Q125" s="59" t="s">
        <v>251</v>
      </c>
      <c r="R125" s="60"/>
      <c r="S125" s="49">
        <v>46057</v>
      </c>
      <c r="T125" s="50"/>
      <c r="U125" s="9">
        <f>DATE(AD125-1,AC125,AB125)</f>
        <v>45692</v>
      </c>
      <c r="V125" s="6" t="s">
        <v>182</v>
      </c>
      <c r="W125" s="1">
        <f t="shared" ca="1" si="27"/>
        <v>42</v>
      </c>
      <c r="X125" s="16" t="str">
        <f t="shared" ca="1" si="25"/>
        <v>SI</v>
      </c>
      <c r="Y125" s="12" t="str">
        <f>IF(AND($Z$1&gt;=U125,$Z$1&lt;=S125),"OK","NO")</f>
        <v>OK</v>
      </c>
      <c r="Z125" s="14" t="s">
        <v>188</v>
      </c>
      <c r="AA125" s="15">
        <f t="shared" ca="1" si="26"/>
        <v>42</v>
      </c>
      <c r="AB125" s="7">
        <f>DAY(S125)</f>
        <v>4</v>
      </c>
      <c r="AC125">
        <f>MONTH(S125)</f>
        <v>2</v>
      </c>
      <c r="AD125">
        <f>YEAR(S125)</f>
        <v>2026</v>
      </c>
    </row>
    <row r="126" spans="1:30" ht="18" x14ac:dyDescent="0.2">
      <c r="A126" s="27" t="s">
        <v>126</v>
      </c>
      <c r="B126" s="31"/>
      <c r="C126" s="27"/>
      <c r="D126" s="31"/>
      <c r="E126" s="27"/>
      <c r="F126" s="31"/>
      <c r="G126" s="41" t="s">
        <v>27</v>
      </c>
      <c r="H126" s="42"/>
      <c r="I126" s="51" t="s">
        <v>43</v>
      </c>
      <c r="J126" s="40"/>
      <c r="K126" s="51" t="s">
        <v>103</v>
      </c>
      <c r="L126" s="40"/>
      <c r="M126" s="39" t="s">
        <v>45</v>
      </c>
      <c r="N126" s="58"/>
      <c r="O126" s="43">
        <v>2.9999999999999997E-4</v>
      </c>
      <c r="P126" s="44"/>
      <c r="Q126" s="59" t="s">
        <v>190</v>
      </c>
      <c r="R126" s="60"/>
      <c r="S126" s="49">
        <v>45690</v>
      </c>
      <c r="T126" s="50"/>
      <c r="U126" s="9">
        <f t="shared" si="20"/>
        <v>45324</v>
      </c>
      <c r="V126" s="6" t="s">
        <v>183</v>
      </c>
      <c r="W126" s="1">
        <f t="shared" ca="1" si="27"/>
        <v>-325</v>
      </c>
      <c r="X126" s="16" t="str">
        <f t="shared" ca="1" si="25"/>
        <v>NO</v>
      </c>
      <c r="Y126" s="12" t="str">
        <f>IF(AND($Z$1&gt;=U126,$Z$1&lt;=S126),"OK","NO")</f>
        <v>NO</v>
      </c>
      <c r="Z126" s="14" t="s">
        <v>126</v>
      </c>
      <c r="AA126" s="15">
        <f t="shared" ca="1" si="26"/>
        <v>-325</v>
      </c>
      <c r="AB126" s="7">
        <f t="shared" si="22"/>
        <v>2</v>
      </c>
      <c r="AC126">
        <f t="shared" si="23"/>
        <v>2</v>
      </c>
      <c r="AD126">
        <f t="shared" si="24"/>
        <v>2025</v>
      </c>
    </row>
    <row r="127" spans="1:30" ht="18" x14ac:dyDescent="0.2">
      <c r="A127" s="27" t="s">
        <v>126</v>
      </c>
      <c r="B127" s="31"/>
      <c r="C127" s="27"/>
      <c r="D127" s="31"/>
      <c r="E127" s="27"/>
      <c r="F127" s="31"/>
      <c r="G127" s="41" t="s">
        <v>27</v>
      </c>
      <c r="H127" s="42"/>
      <c r="I127" s="51" t="s">
        <v>43</v>
      </c>
      <c r="J127" s="40"/>
      <c r="K127" s="51" t="s">
        <v>103</v>
      </c>
      <c r="L127" s="40"/>
      <c r="M127" s="39" t="s">
        <v>45</v>
      </c>
      <c r="N127" s="58"/>
      <c r="O127" s="43">
        <v>2.9999999999999997E-4</v>
      </c>
      <c r="P127" s="44"/>
      <c r="Q127" s="59" t="s">
        <v>250</v>
      </c>
      <c r="R127" s="60"/>
      <c r="S127" s="49">
        <v>46057</v>
      </c>
      <c r="T127" s="50"/>
      <c r="U127" s="9">
        <f>DATE(AD127-1,AC127,AB127)</f>
        <v>45692</v>
      </c>
      <c r="V127" s="6" t="s">
        <v>183</v>
      </c>
      <c r="W127" s="1">
        <f t="shared" ca="1" si="27"/>
        <v>42</v>
      </c>
      <c r="X127" s="16" t="str">
        <f t="shared" ca="1" si="25"/>
        <v>SI</v>
      </c>
      <c r="Y127" s="12" t="str">
        <f>IF(AND($Z$1&gt;=U127,$Z$1&lt;=S127),"OK","NO")</f>
        <v>OK</v>
      </c>
      <c r="Z127" s="14" t="s">
        <v>188</v>
      </c>
      <c r="AA127" s="15">
        <f t="shared" ca="1" si="26"/>
        <v>42</v>
      </c>
      <c r="AB127" s="7">
        <f>DAY(S127)</f>
        <v>4</v>
      </c>
      <c r="AC127">
        <f>MONTH(S127)</f>
        <v>2</v>
      </c>
      <c r="AD127">
        <f>YEAR(S127)</f>
        <v>2026</v>
      </c>
    </row>
    <row r="128" spans="1:30" ht="18" x14ac:dyDescent="0.2">
      <c r="A128" s="27" t="s">
        <v>126</v>
      </c>
      <c r="B128" s="31"/>
      <c r="C128" s="27"/>
      <c r="D128" s="31"/>
      <c r="E128" s="27"/>
      <c r="F128" s="31"/>
      <c r="G128" s="41" t="s">
        <v>27</v>
      </c>
      <c r="H128" s="42"/>
      <c r="I128" s="51" t="s">
        <v>43</v>
      </c>
      <c r="J128" s="40"/>
      <c r="K128" s="51" t="s">
        <v>104</v>
      </c>
      <c r="L128" s="40"/>
      <c r="M128" s="39" t="s">
        <v>45</v>
      </c>
      <c r="N128" s="58"/>
      <c r="O128" s="43">
        <v>2.9999999999999997E-4</v>
      </c>
      <c r="P128" s="44"/>
      <c r="Q128" s="59" t="s">
        <v>191</v>
      </c>
      <c r="R128" s="60"/>
      <c r="S128" s="49">
        <v>45690</v>
      </c>
      <c r="T128" s="50"/>
      <c r="U128" s="9">
        <f t="shared" si="20"/>
        <v>45324</v>
      </c>
      <c r="V128" s="6" t="s">
        <v>184</v>
      </c>
      <c r="W128" s="1">
        <f t="shared" ca="1" si="27"/>
        <v>-325</v>
      </c>
      <c r="X128" s="16" t="str">
        <f t="shared" ca="1" si="25"/>
        <v>NO</v>
      </c>
      <c r="Y128" s="12" t="str">
        <f t="shared" si="21"/>
        <v>NO</v>
      </c>
      <c r="Z128" s="14" t="s">
        <v>126</v>
      </c>
      <c r="AA128" s="15">
        <f t="shared" ca="1" si="26"/>
        <v>-325</v>
      </c>
      <c r="AB128" s="7">
        <f t="shared" si="22"/>
        <v>2</v>
      </c>
      <c r="AC128">
        <f t="shared" si="23"/>
        <v>2</v>
      </c>
      <c r="AD128">
        <f t="shared" si="24"/>
        <v>2025</v>
      </c>
    </row>
    <row r="129" spans="1:30" ht="18" x14ac:dyDescent="0.2">
      <c r="A129" s="27" t="s">
        <v>126</v>
      </c>
      <c r="B129" s="31"/>
      <c r="C129" s="27"/>
      <c r="D129" s="31"/>
      <c r="E129" s="27"/>
      <c r="F129" s="31"/>
      <c r="G129" s="41" t="s">
        <v>27</v>
      </c>
      <c r="H129" s="42"/>
      <c r="I129" s="51" t="s">
        <v>43</v>
      </c>
      <c r="J129" s="40"/>
      <c r="K129" s="51" t="s">
        <v>104</v>
      </c>
      <c r="L129" s="40"/>
      <c r="M129" s="39" t="s">
        <v>45</v>
      </c>
      <c r="N129" s="58"/>
      <c r="O129" s="43">
        <v>2.9999999999999997E-4</v>
      </c>
      <c r="P129" s="44"/>
      <c r="Q129" s="59" t="s">
        <v>249</v>
      </c>
      <c r="R129" s="60"/>
      <c r="S129" s="49">
        <v>46057</v>
      </c>
      <c r="T129" s="50"/>
      <c r="U129" s="9">
        <f>DATE(AD129-1,AC129,AB129)</f>
        <v>45692</v>
      </c>
      <c r="V129" s="6" t="s">
        <v>184</v>
      </c>
      <c r="W129" s="1">
        <f t="shared" ca="1" si="27"/>
        <v>42</v>
      </c>
      <c r="X129" s="16" t="str">
        <f t="shared" ca="1" si="25"/>
        <v>SI</v>
      </c>
      <c r="Y129" s="12" t="str">
        <f>IF(AND($Z$1&gt;=U129,$Z$1&lt;=S129),"OK","NO")</f>
        <v>OK</v>
      </c>
      <c r="Z129" s="14" t="s">
        <v>188</v>
      </c>
      <c r="AA129" s="15">
        <f t="shared" ca="1" si="26"/>
        <v>42</v>
      </c>
      <c r="AB129" s="7">
        <f>DAY(S129)</f>
        <v>4</v>
      </c>
      <c r="AC129">
        <f>MONTH(S129)</f>
        <v>2</v>
      </c>
      <c r="AD129">
        <f>YEAR(S129)</f>
        <v>2026</v>
      </c>
    </row>
    <row r="130" spans="1:30" ht="18" x14ac:dyDescent="0.2">
      <c r="A130" s="27" t="s">
        <v>188</v>
      </c>
      <c r="B130" s="31"/>
      <c r="C130" s="27"/>
      <c r="D130" s="31"/>
      <c r="E130" s="27"/>
      <c r="F130" s="31"/>
      <c r="G130" s="27" t="s">
        <v>66</v>
      </c>
      <c r="H130" s="28"/>
      <c r="I130" s="29" t="s">
        <v>65</v>
      </c>
      <c r="J130" s="30"/>
      <c r="K130" s="29">
        <v>20200041</v>
      </c>
      <c r="L130" s="30"/>
      <c r="M130" s="32" t="s">
        <v>46</v>
      </c>
      <c r="N130" s="30"/>
      <c r="O130" s="33">
        <v>2.0000000000000001E-4</v>
      </c>
      <c r="P130" s="34"/>
      <c r="Q130" s="29" t="s">
        <v>136</v>
      </c>
      <c r="R130" s="30"/>
      <c r="S130" s="37">
        <v>44523</v>
      </c>
      <c r="T130" s="38"/>
      <c r="U130" s="9">
        <f t="shared" si="20"/>
        <v>44158</v>
      </c>
      <c r="V130" s="6" t="s">
        <v>138</v>
      </c>
      <c r="W130" s="1">
        <f t="shared" ca="1" si="27"/>
        <v>-1492</v>
      </c>
      <c r="X130" s="16" t="str">
        <f t="shared" ca="1" si="25"/>
        <v>NO</v>
      </c>
      <c r="Y130" s="12" t="str">
        <f t="shared" si="21"/>
        <v>NO</v>
      </c>
      <c r="Z130" s="14" t="s">
        <v>126</v>
      </c>
      <c r="AA130" s="15">
        <f t="shared" ca="1" si="26"/>
        <v>-1492</v>
      </c>
      <c r="AB130" s="7">
        <f t="shared" si="22"/>
        <v>23</v>
      </c>
      <c r="AC130">
        <f t="shared" si="23"/>
        <v>11</v>
      </c>
      <c r="AD130">
        <f t="shared" si="24"/>
        <v>2021</v>
      </c>
    </row>
    <row r="131" spans="1:30" ht="18" x14ac:dyDescent="0.2">
      <c r="A131" s="27" t="s">
        <v>188</v>
      </c>
      <c r="B131" s="31"/>
      <c r="C131" s="27"/>
      <c r="D131" s="31"/>
      <c r="E131" s="27"/>
      <c r="F131" s="31"/>
      <c r="G131" s="27" t="s">
        <v>66</v>
      </c>
      <c r="H131" s="28"/>
      <c r="I131" s="29" t="s">
        <v>65</v>
      </c>
      <c r="J131" s="30"/>
      <c r="K131" s="29">
        <v>20200041</v>
      </c>
      <c r="L131" s="30"/>
      <c r="M131" s="32" t="s">
        <v>46</v>
      </c>
      <c r="N131" s="30"/>
      <c r="O131" s="33">
        <v>2.0000000000000001E-4</v>
      </c>
      <c r="P131" s="34"/>
      <c r="Q131" s="29" t="s">
        <v>72</v>
      </c>
      <c r="R131" s="30"/>
      <c r="S131" s="37">
        <v>44889</v>
      </c>
      <c r="T131" s="38"/>
      <c r="U131" s="9">
        <f t="shared" si="20"/>
        <v>44524</v>
      </c>
      <c r="V131" s="6" t="s">
        <v>138</v>
      </c>
      <c r="W131" s="1">
        <f t="shared" ca="1" si="27"/>
        <v>-1126</v>
      </c>
      <c r="X131" s="16" t="str">
        <f t="shared" ca="1" si="25"/>
        <v>NO</v>
      </c>
      <c r="Y131" s="12" t="str">
        <f t="shared" si="21"/>
        <v>NO</v>
      </c>
      <c r="Z131" s="14" t="s">
        <v>126</v>
      </c>
      <c r="AA131" s="15">
        <f t="shared" ca="1" si="26"/>
        <v>-1126</v>
      </c>
      <c r="AB131" s="7">
        <f t="shared" si="22"/>
        <v>24</v>
      </c>
      <c r="AC131">
        <f t="shared" si="23"/>
        <v>11</v>
      </c>
      <c r="AD131">
        <f t="shared" si="24"/>
        <v>2022</v>
      </c>
    </row>
    <row r="132" spans="1:30" ht="18" x14ac:dyDescent="0.2">
      <c r="A132" s="27" t="s">
        <v>126</v>
      </c>
      <c r="B132" s="31"/>
      <c r="C132" s="27"/>
      <c r="D132" s="31"/>
      <c r="E132" s="27"/>
      <c r="F132" s="31"/>
      <c r="G132" s="27" t="s">
        <v>66</v>
      </c>
      <c r="H132" s="28"/>
      <c r="I132" s="29" t="s">
        <v>65</v>
      </c>
      <c r="J132" s="30"/>
      <c r="K132" s="29">
        <v>20200041</v>
      </c>
      <c r="L132" s="30"/>
      <c r="M132" s="32" t="s">
        <v>46</v>
      </c>
      <c r="N132" s="30"/>
      <c r="O132" s="33">
        <v>2.0000000000000001E-4</v>
      </c>
      <c r="P132" s="34"/>
      <c r="Q132" s="35" t="s">
        <v>137</v>
      </c>
      <c r="R132" s="36"/>
      <c r="S132" s="37">
        <v>45792</v>
      </c>
      <c r="T132" s="38"/>
      <c r="U132" s="9">
        <f t="shared" si="20"/>
        <v>45427</v>
      </c>
      <c r="V132" s="6" t="s">
        <v>138</v>
      </c>
      <c r="W132" s="1">
        <f t="shared" ca="1" si="27"/>
        <v>-223</v>
      </c>
      <c r="X132" s="16" t="str">
        <f t="shared" ca="1" si="25"/>
        <v>NO</v>
      </c>
      <c r="Y132" s="12" t="str">
        <f t="shared" si="21"/>
        <v>NO</v>
      </c>
      <c r="Z132" s="14" t="s">
        <v>126</v>
      </c>
      <c r="AA132" s="15">
        <f t="shared" ca="1" si="26"/>
        <v>-223</v>
      </c>
      <c r="AB132" s="7">
        <f t="shared" si="22"/>
        <v>15</v>
      </c>
      <c r="AC132">
        <f t="shared" si="23"/>
        <v>5</v>
      </c>
      <c r="AD132">
        <f t="shared" si="24"/>
        <v>2025</v>
      </c>
    </row>
    <row r="133" spans="1:30" ht="18" x14ac:dyDescent="0.2">
      <c r="A133" s="27" t="s">
        <v>126</v>
      </c>
      <c r="B133" s="31"/>
      <c r="C133" s="27"/>
      <c r="D133" s="31"/>
      <c r="E133" s="27"/>
      <c r="F133" s="31"/>
      <c r="G133" s="27" t="s">
        <v>66</v>
      </c>
      <c r="H133" s="28"/>
      <c r="I133" s="29" t="s">
        <v>65</v>
      </c>
      <c r="J133" s="30"/>
      <c r="K133" s="29">
        <v>20200041</v>
      </c>
      <c r="L133" s="30"/>
      <c r="M133" s="32" t="s">
        <v>46</v>
      </c>
      <c r="N133" s="30"/>
      <c r="O133" s="33">
        <v>2.0000000000000001E-4</v>
      </c>
      <c r="P133" s="34"/>
      <c r="Q133" s="35" t="s">
        <v>297</v>
      </c>
      <c r="R133" s="36"/>
      <c r="S133" s="37">
        <v>46162</v>
      </c>
      <c r="T133" s="38"/>
      <c r="U133" s="9">
        <f>DATE(AD133-1,AC133,AB133)</f>
        <v>45797</v>
      </c>
      <c r="V133" s="6" t="s">
        <v>138</v>
      </c>
      <c r="W133" s="1">
        <f t="shared" ca="1" si="27"/>
        <v>147</v>
      </c>
      <c r="X133" s="16" t="str">
        <f t="shared" ca="1" si="25"/>
        <v>NO</v>
      </c>
      <c r="Y133" s="12" t="str">
        <f>IF(AND($Z$1&gt;=U133,$Z$1&lt;=S133),"OK","NO")</f>
        <v>OK</v>
      </c>
      <c r="Z133" s="14" t="s">
        <v>188</v>
      </c>
      <c r="AA133" s="15">
        <f t="shared" ca="1" si="26"/>
        <v>147</v>
      </c>
      <c r="AB133" s="7">
        <f>DAY(S133)</f>
        <v>20</v>
      </c>
      <c r="AC133">
        <f>MONTH(S133)</f>
        <v>5</v>
      </c>
      <c r="AD133">
        <f>YEAR(S133)</f>
        <v>2026</v>
      </c>
    </row>
    <row r="134" spans="1:30" ht="18" x14ac:dyDescent="0.2">
      <c r="A134" s="27" t="s">
        <v>188</v>
      </c>
      <c r="B134" s="31"/>
      <c r="C134" s="27"/>
      <c r="D134" s="31"/>
      <c r="E134" s="27"/>
      <c r="F134" s="31"/>
      <c r="G134" s="27" t="s">
        <v>66</v>
      </c>
      <c r="H134" s="28"/>
      <c r="I134" s="29" t="s">
        <v>65</v>
      </c>
      <c r="J134" s="30"/>
      <c r="K134" s="29">
        <v>20200043</v>
      </c>
      <c r="L134" s="30"/>
      <c r="M134" s="32" t="s">
        <v>46</v>
      </c>
      <c r="N134" s="30"/>
      <c r="O134" s="33">
        <v>2.0000000000000001E-4</v>
      </c>
      <c r="P134" s="34"/>
      <c r="Q134" s="29" t="s">
        <v>133</v>
      </c>
      <c r="R134" s="30"/>
      <c r="S134" s="37">
        <v>44523</v>
      </c>
      <c r="T134" s="38"/>
      <c r="U134" s="9">
        <f t="shared" si="20"/>
        <v>44158</v>
      </c>
      <c r="V134" s="6" t="s">
        <v>139</v>
      </c>
      <c r="W134" s="1">
        <f t="shared" ca="1" si="27"/>
        <v>-1492</v>
      </c>
      <c r="X134" s="16" t="str">
        <f t="shared" ca="1" si="25"/>
        <v>NO</v>
      </c>
      <c r="Y134" s="12" t="str">
        <f t="shared" si="21"/>
        <v>NO</v>
      </c>
      <c r="Z134" s="14" t="s">
        <v>126</v>
      </c>
      <c r="AA134" s="15">
        <f t="shared" ca="1" si="26"/>
        <v>-1492</v>
      </c>
      <c r="AB134" s="7">
        <f t="shared" si="22"/>
        <v>23</v>
      </c>
      <c r="AC134">
        <f t="shared" si="23"/>
        <v>11</v>
      </c>
      <c r="AD134">
        <f t="shared" si="24"/>
        <v>2021</v>
      </c>
    </row>
    <row r="135" spans="1:30" ht="18" x14ac:dyDescent="0.2">
      <c r="A135" s="27" t="s">
        <v>188</v>
      </c>
      <c r="B135" s="31"/>
      <c r="C135" s="27"/>
      <c r="D135" s="31"/>
      <c r="E135" s="27"/>
      <c r="F135" s="31"/>
      <c r="G135" s="27" t="s">
        <v>66</v>
      </c>
      <c r="H135" s="28"/>
      <c r="I135" s="29" t="s">
        <v>65</v>
      </c>
      <c r="J135" s="30"/>
      <c r="K135" s="29">
        <v>20200043</v>
      </c>
      <c r="L135" s="30"/>
      <c r="M135" s="32" t="s">
        <v>46</v>
      </c>
      <c r="N135" s="30"/>
      <c r="O135" s="33">
        <v>2.0000000000000001E-4</v>
      </c>
      <c r="P135" s="34"/>
      <c r="Q135" s="29" t="s">
        <v>73</v>
      </c>
      <c r="R135" s="30"/>
      <c r="S135" s="37">
        <v>44889</v>
      </c>
      <c r="T135" s="38"/>
      <c r="U135" s="9">
        <f t="shared" si="20"/>
        <v>44524</v>
      </c>
      <c r="V135" s="6" t="s">
        <v>139</v>
      </c>
      <c r="W135" s="1">
        <f t="shared" ca="1" si="27"/>
        <v>-1126</v>
      </c>
      <c r="X135" s="16" t="str">
        <f t="shared" ref="X135:X164" ca="1" si="28">IF(AND(AA135&gt;-1000,AA135&lt;60,Z135="NO"),"SI","NO")</f>
        <v>NO</v>
      </c>
      <c r="Y135" s="12" t="str">
        <f t="shared" si="21"/>
        <v>NO</v>
      </c>
      <c r="Z135" s="14" t="s">
        <v>126</v>
      </c>
      <c r="AA135" s="15">
        <f t="shared" ref="AA135:AA164" ca="1" si="29">S135-$G$1</f>
        <v>-1126</v>
      </c>
      <c r="AB135" s="7">
        <f t="shared" si="22"/>
        <v>24</v>
      </c>
      <c r="AC135">
        <f t="shared" si="23"/>
        <v>11</v>
      </c>
      <c r="AD135">
        <f t="shared" si="24"/>
        <v>2022</v>
      </c>
    </row>
    <row r="136" spans="1:30" ht="18" x14ac:dyDescent="0.2">
      <c r="A136" s="27" t="s">
        <v>126</v>
      </c>
      <c r="B136" s="31"/>
      <c r="C136" s="27"/>
      <c r="D136" s="31"/>
      <c r="E136" s="27"/>
      <c r="F136" s="31"/>
      <c r="G136" s="27" t="s">
        <v>66</v>
      </c>
      <c r="H136" s="28"/>
      <c r="I136" s="29" t="s">
        <v>65</v>
      </c>
      <c r="J136" s="30"/>
      <c r="K136" s="29">
        <v>20200043</v>
      </c>
      <c r="L136" s="30"/>
      <c r="M136" s="32" t="s">
        <v>46</v>
      </c>
      <c r="N136" s="30"/>
      <c r="O136" s="33">
        <v>2.0000000000000001E-4</v>
      </c>
      <c r="P136" s="34"/>
      <c r="Q136" s="35" t="s">
        <v>132</v>
      </c>
      <c r="R136" s="36"/>
      <c r="S136" s="37">
        <v>45792</v>
      </c>
      <c r="T136" s="38"/>
      <c r="U136" s="9">
        <f t="shared" ref="U136:U164" si="30">DATE(AD136-1,AC136,AB136)</f>
        <v>45427</v>
      </c>
      <c r="V136" s="6" t="s">
        <v>139</v>
      </c>
      <c r="W136" s="1">
        <f t="shared" ca="1" si="27"/>
        <v>-223</v>
      </c>
      <c r="X136" s="16" t="str">
        <f t="shared" ca="1" si="28"/>
        <v>NO</v>
      </c>
      <c r="Y136" s="12" t="str">
        <f t="shared" ref="Y136:Y164" si="31">IF(AND($Z$1&gt;=U136,$Z$1&lt;=S136),"OK","NO")</f>
        <v>NO</v>
      </c>
      <c r="Z136" s="14" t="s">
        <v>126</v>
      </c>
      <c r="AA136" s="15">
        <f t="shared" ca="1" si="29"/>
        <v>-223</v>
      </c>
      <c r="AB136" s="7">
        <f t="shared" ref="AB136:AB164" si="32">DAY(S136)</f>
        <v>15</v>
      </c>
      <c r="AC136">
        <f t="shared" ref="AC136:AC164" si="33">MONTH(S136)</f>
        <v>5</v>
      </c>
      <c r="AD136">
        <f t="shared" ref="AD136:AD164" si="34">YEAR(S136)</f>
        <v>2025</v>
      </c>
    </row>
    <row r="137" spans="1:30" ht="18" x14ac:dyDescent="0.2">
      <c r="A137" s="27" t="s">
        <v>126</v>
      </c>
      <c r="B137" s="31"/>
      <c r="C137" s="27"/>
      <c r="D137" s="31"/>
      <c r="E137" s="27"/>
      <c r="F137" s="31"/>
      <c r="G137" s="27" t="s">
        <v>66</v>
      </c>
      <c r="H137" s="28"/>
      <c r="I137" s="29" t="s">
        <v>65</v>
      </c>
      <c r="J137" s="30"/>
      <c r="K137" s="29">
        <v>20200043</v>
      </c>
      <c r="L137" s="30"/>
      <c r="M137" s="32" t="s">
        <v>46</v>
      </c>
      <c r="N137" s="30"/>
      <c r="O137" s="33">
        <v>2.0000000000000001E-4</v>
      </c>
      <c r="P137" s="34"/>
      <c r="Q137" s="35" t="s">
        <v>294</v>
      </c>
      <c r="R137" s="36"/>
      <c r="S137" s="37">
        <v>46162</v>
      </c>
      <c r="T137" s="38"/>
      <c r="U137" s="9">
        <f>DATE(AD137-1,AC137,AB137)</f>
        <v>45797</v>
      </c>
      <c r="V137" s="6" t="s">
        <v>139</v>
      </c>
      <c r="W137" s="1">
        <f t="shared" ca="1" si="27"/>
        <v>147</v>
      </c>
      <c r="X137" s="16" t="str">
        <f t="shared" ca="1" si="28"/>
        <v>NO</v>
      </c>
      <c r="Y137" s="12" t="str">
        <f>IF(AND($Z$1&gt;=U137,$Z$1&lt;=S137),"OK","NO")</f>
        <v>OK</v>
      </c>
      <c r="Z137" s="14" t="s">
        <v>188</v>
      </c>
      <c r="AA137" s="15">
        <f t="shared" ca="1" si="29"/>
        <v>147</v>
      </c>
      <c r="AB137" s="7">
        <f>DAY(S137)</f>
        <v>20</v>
      </c>
      <c r="AC137">
        <f>MONTH(S137)</f>
        <v>5</v>
      </c>
      <c r="AD137">
        <f>YEAR(S137)</f>
        <v>2026</v>
      </c>
    </row>
    <row r="138" spans="1:30" ht="18" x14ac:dyDescent="0.2">
      <c r="A138" s="27" t="s">
        <v>188</v>
      </c>
      <c r="B138" s="31"/>
      <c r="C138" s="27"/>
      <c r="D138" s="31"/>
      <c r="E138" s="27"/>
      <c r="F138" s="31"/>
      <c r="G138" s="27" t="s">
        <v>66</v>
      </c>
      <c r="H138" s="28"/>
      <c r="I138" s="29" t="s">
        <v>65</v>
      </c>
      <c r="J138" s="30"/>
      <c r="K138" s="29">
        <v>20200042</v>
      </c>
      <c r="L138" s="30"/>
      <c r="M138" s="32" t="s">
        <v>46</v>
      </c>
      <c r="N138" s="30"/>
      <c r="O138" s="33">
        <v>2.0000000000000001E-4</v>
      </c>
      <c r="P138" s="34"/>
      <c r="Q138" s="29" t="s">
        <v>134</v>
      </c>
      <c r="R138" s="30"/>
      <c r="S138" s="37">
        <v>44523</v>
      </c>
      <c r="T138" s="38"/>
      <c r="U138" s="9">
        <f t="shared" si="30"/>
        <v>44158</v>
      </c>
      <c r="V138" s="6" t="s">
        <v>140</v>
      </c>
      <c r="W138" s="1">
        <f t="shared" ca="1" si="27"/>
        <v>-1492</v>
      </c>
      <c r="X138" s="16" t="str">
        <f t="shared" ca="1" si="28"/>
        <v>NO</v>
      </c>
      <c r="Y138" s="12" t="str">
        <f t="shared" si="31"/>
        <v>NO</v>
      </c>
      <c r="Z138" s="14" t="s">
        <v>126</v>
      </c>
      <c r="AA138" s="15">
        <f t="shared" ca="1" si="29"/>
        <v>-1492</v>
      </c>
      <c r="AB138" s="7">
        <f t="shared" si="32"/>
        <v>23</v>
      </c>
      <c r="AC138">
        <f t="shared" si="33"/>
        <v>11</v>
      </c>
      <c r="AD138">
        <f t="shared" si="34"/>
        <v>2021</v>
      </c>
    </row>
    <row r="139" spans="1:30" ht="18" x14ac:dyDescent="0.2">
      <c r="A139" s="27" t="s">
        <v>188</v>
      </c>
      <c r="B139" s="31"/>
      <c r="C139" s="27"/>
      <c r="D139" s="31"/>
      <c r="E139" s="27"/>
      <c r="F139" s="31"/>
      <c r="G139" s="27" t="s">
        <v>66</v>
      </c>
      <c r="H139" s="28"/>
      <c r="I139" s="29" t="s">
        <v>65</v>
      </c>
      <c r="J139" s="30"/>
      <c r="K139" s="29">
        <v>20200042</v>
      </c>
      <c r="L139" s="30"/>
      <c r="M139" s="32" t="s">
        <v>46</v>
      </c>
      <c r="N139" s="30"/>
      <c r="O139" s="33">
        <v>2.0000000000000001E-4</v>
      </c>
      <c r="P139" s="34"/>
      <c r="Q139" s="29" t="s">
        <v>74</v>
      </c>
      <c r="R139" s="30"/>
      <c r="S139" s="37">
        <v>44889</v>
      </c>
      <c r="T139" s="38"/>
      <c r="U139" s="9">
        <f t="shared" si="30"/>
        <v>44524</v>
      </c>
      <c r="V139" s="6" t="s">
        <v>140</v>
      </c>
      <c r="W139" s="1">
        <f t="shared" ca="1" si="27"/>
        <v>-1126</v>
      </c>
      <c r="X139" s="16" t="str">
        <f t="shared" ca="1" si="28"/>
        <v>NO</v>
      </c>
      <c r="Y139" s="12" t="str">
        <f t="shared" si="31"/>
        <v>NO</v>
      </c>
      <c r="Z139" s="14" t="s">
        <v>126</v>
      </c>
      <c r="AA139" s="15">
        <f t="shared" ca="1" si="29"/>
        <v>-1126</v>
      </c>
      <c r="AB139" s="7">
        <f t="shared" si="32"/>
        <v>24</v>
      </c>
      <c r="AC139">
        <f t="shared" si="33"/>
        <v>11</v>
      </c>
      <c r="AD139">
        <f t="shared" si="34"/>
        <v>2022</v>
      </c>
    </row>
    <row r="140" spans="1:30" ht="18" x14ac:dyDescent="0.2">
      <c r="A140" s="27" t="s">
        <v>126</v>
      </c>
      <c r="B140" s="31"/>
      <c r="C140" s="27"/>
      <c r="D140" s="31"/>
      <c r="E140" s="27"/>
      <c r="F140" s="31"/>
      <c r="G140" s="27" t="s">
        <v>66</v>
      </c>
      <c r="H140" s="28"/>
      <c r="I140" s="29" t="s">
        <v>65</v>
      </c>
      <c r="J140" s="30"/>
      <c r="K140" s="29">
        <v>20200042</v>
      </c>
      <c r="L140" s="30"/>
      <c r="M140" s="32" t="s">
        <v>46</v>
      </c>
      <c r="N140" s="30"/>
      <c r="O140" s="33">
        <v>2.0000000000000001E-4</v>
      </c>
      <c r="P140" s="34"/>
      <c r="Q140" s="35" t="s">
        <v>135</v>
      </c>
      <c r="R140" s="36"/>
      <c r="S140" s="37">
        <v>45792</v>
      </c>
      <c r="T140" s="38"/>
      <c r="U140" s="9">
        <f t="shared" si="30"/>
        <v>45427</v>
      </c>
      <c r="V140" s="6" t="s">
        <v>140</v>
      </c>
      <c r="W140" s="1">
        <f t="shared" ca="1" si="27"/>
        <v>-223</v>
      </c>
      <c r="X140" s="16" t="str">
        <f t="shared" ca="1" si="28"/>
        <v>NO</v>
      </c>
      <c r="Y140" s="12" t="str">
        <f>IF(AND($Z$1&gt;=U140,$Z$1&lt;=S140),"OK","NO")</f>
        <v>NO</v>
      </c>
      <c r="Z140" s="14" t="s">
        <v>126</v>
      </c>
      <c r="AA140" s="15">
        <f t="shared" ca="1" si="29"/>
        <v>-223</v>
      </c>
      <c r="AB140" s="7">
        <f t="shared" si="32"/>
        <v>15</v>
      </c>
      <c r="AC140">
        <f t="shared" si="33"/>
        <v>5</v>
      </c>
      <c r="AD140">
        <f t="shared" si="34"/>
        <v>2025</v>
      </c>
    </row>
    <row r="141" spans="1:30" ht="18" x14ac:dyDescent="0.2">
      <c r="A141" s="27" t="s">
        <v>126</v>
      </c>
      <c r="B141" s="31"/>
      <c r="C141" s="27"/>
      <c r="D141" s="31"/>
      <c r="E141" s="27"/>
      <c r="F141" s="31"/>
      <c r="G141" s="27" t="s">
        <v>66</v>
      </c>
      <c r="H141" s="28"/>
      <c r="I141" s="29" t="s">
        <v>65</v>
      </c>
      <c r="J141" s="30"/>
      <c r="K141" s="29">
        <v>20200042</v>
      </c>
      <c r="L141" s="30"/>
      <c r="M141" s="32" t="s">
        <v>46</v>
      </c>
      <c r="N141" s="30"/>
      <c r="O141" s="33">
        <v>2.0000000000000001E-4</v>
      </c>
      <c r="P141" s="34"/>
      <c r="Q141" s="35" t="s">
        <v>298</v>
      </c>
      <c r="R141" s="36"/>
      <c r="S141" s="37">
        <v>46162</v>
      </c>
      <c r="T141" s="38"/>
      <c r="U141" s="9">
        <f>DATE(AD141-1,AC141,AB141)</f>
        <v>45797</v>
      </c>
      <c r="V141" s="6" t="s">
        <v>140</v>
      </c>
      <c r="W141" s="1">
        <f t="shared" ca="1" si="27"/>
        <v>147</v>
      </c>
      <c r="X141" s="16" t="str">
        <f t="shared" ca="1" si="28"/>
        <v>NO</v>
      </c>
      <c r="Y141" s="12" t="str">
        <f>IF(AND($Z$1&gt;=U141,$Z$1&lt;=S141),"OK","NO")</f>
        <v>OK</v>
      </c>
      <c r="Z141" s="14" t="s">
        <v>188</v>
      </c>
      <c r="AA141" s="15">
        <f t="shared" ca="1" si="29"/>
        <v>147</v>
      </c>
      <c r="AB141" s="7">
        <f>DAY(S141)</f>
        <v>20</v>
      </c>
      <c r="AC141">
        <f>MONTH(S141)</f>
        <v>5</v>
      </c>
      <c r="AD141">
        <f>YEAR(S141)</f>
        <v>2026</v>
      </c>
    </row>
    <row r="142" spans="1:30" ht="18" x14ac:dyDescent="0.2">
      <c r="A142" s="27" t="s">
        <v>188</v>
      </c>
      <c r="B142" s="31"/>
      <c r="C142" s="27"/>
      <c r="D142" s="31"/>
      <c r="E142" s="27"/>
      <c r="F142" s="31"/>
      <c r="G142" s="27" t="s">
        <v>24</v>
      </c>
      <c r="H142" s="28"/>
      <c r="I142" s="29" t="s">
        <v>25</v>
      </c>
      <c r="J142" s="30"/>
      <c r="K142" s="29" t="s">
        <v>26</v>
      </c>
      <c r="L142" s="30"/>
      <c r="M142" s="32" t="s">
        <v>46</v>
      </c>
      <c r="N142" s="30"/>
      <c r="O142" s="33">
        <v>1.4999999999999999E-4</v>
      </c>
      <c r="P142" s="34"/>
      <c r="Q142" s="29" t="s">
        <v>64</v>
      </c>
      <c r="R142" s="30"/>
      <c r="S142" s="37">
        <v>44155</v>
      </c>
      <c r="T142" s="38"/>
      <c r="U142" s="9">
        <f t="shared" si="30"/>
        <v>43789</v>
      </c>
      <c r="V142" s="6"/>
      <c r="W142" s="1">
        <f t="shared" ca="1" si="27"/>
        <v>-1860</v>
      </c>
      <c r="X142" s="16" t="str">
        <f t="shared" ca="1" si="28"/>
        <v>NO</v>
      </c>
      <c r="Y142" s="12" t="str">
        <f t="shared" si="31"/>
        <v>NO</v>
      </c>
      <c r="Z142" s="14" t="s">
        <v>219</v>
      </c>
      <c r="AA142" s="15">
        <f t="shared" ca="1" si="29"/>
        <v>-1860</v>
      </c>
      <c r="AB142" s="7">
        <f t="shared" si="32"/>
        <v>20</v>
      </c>
      <c r="AC142">
        <f t="shared" si="33"/>
        <v>11</v>
      </c>
      <c r="AD142">
        <f t="shared" si="34"/>
        <v>2020</v>
      </c>
    </row>
    <row r="143" spans="1:30" ht="18" x14ac:dyDescent="0.2">
      <c r="A143" s="27" t="s">
        <v>188</v>
      </c>
      <c r="B143" s="31"/>
      <c r="C143" s="27"/>
      <c r="D143" s="31"/>
      <c r="E143" s="27"/>
      <c r="F143" s="31"/>
      <c r="G143" s="27" t="s">
        <v>24</v>
      </c>
      <c r="H143" s="28"/>
      <c r="I143" s="29" t="s">
        <v>25</v>
      </c>
      <c r="J143" s="30"/>
      <c r="K143" s="29" t="s">
        <v>47</v>
      </c>
      <c r="L143" s="30"/>
      <c r="M143" s="32" t="s">
        <v>46</v>
      </c>
      <c r="N143" s="30"/>
      <c r="O143" s="33">
        <v>1.4999999999999999E-4</v>
      </c>
      <c r="P143" s="34"/>
      <c r="Q143" s="29" t="s">
        <v>63</v>
      </c>
      <c r="R143" s="30"/>
      <c r="S143" s="37">
        <v>44155</v>
      </c>
      <c r="T143" s="38"/>
      <c r="U143" s="9">
        <f t="shared" si="30"/>
        <v>43789</v>
      </c>
      <c r="V143" s="6"/>
      <c r="W143" s="1">
        <f t="shared" ca="1" si="27"/>
        <v>-1860</v>
      </c>
      <c r="X143" s="16" t="str">
        <f t="shared" ca="1" si="28"/>
        <v>NO</v>
      </c>
      <c r="Y143" s="12" t="str">
        <f t="shared" si="31"/>
        <v>NO</v>
      </c>
      <c r="Z143" s="14" t="s">
        <v>219</v>
      </c>
      <c r="AA143" s="15">
        <f t="shared" ca="1" si="29"/>
        <v>-1860</v>
      </c>
      <c r="AB143" s="7">
        <f t="shared" si="32"/>
        <v>20</v>
      </c>
      <c r="AC143">
        <f t="shared" si="33"/>
        <v>11</v>
      </c>
      <c r="AD143">
        <f t="shared" si="34"/>
        <v>2020</v>
      </c>
    </row>
    <row r="144" spans="1:30" ht="18" x14ac:dyDescent="0.2">
      <c r="A144" s="27" t="s">
        <v>188</v>
      </c>
      <c r="B144" s="31"/>
      <c r="C144" s="27"/>
      <c r="D144" s="31"/>
      <c r="E144" s="27"/>
      <c r="F144" s="31"/>
      <c r="G144" s="27" t="s">
        <v>24</v>
      </c>
      <c r="H144" s="28"/>
      <c r="I144" s="29" t="s">
        <v>25</v>
      </c>
      <c r="J144" s="30"/>
      <c r="K144" s="29" t="s">
        <v>48</v>
      </c>
      <c r="L144" s="30"/>
      <c r="M144" s="32" t="s">
        <v>46</v>
      </c>
      <c r="N144" s="30"/>
      <c r="O144" s="33">
        <v>1.4999999999999999E-4</v>
      </c>
      <c r="P144" s="34"/>
      <c r="Q144" s="29" t="s">
        <v>62</v>
      </c>
      <c r="R144" s="30"/>
      <c r="S144" s="37">
        <v>44155</v>
      </c>
      <c r="T144" s="38"/>
      <c r="U144" s="9">
        <f t="shared" si="30"/>
        <v>43789</v>
      </c>
      <c r="V144" s="6"/>
      <c r="W144" s="1">
        <f t="shared" ref="W144:W164" ca="1" si="35">S144-$G$1</f>
        <v>-1860</v>
      </c>
      <c r="X144" s="16" t="str">
        <f t="shared" ca="1" si="28"/>
        <v>NO</v>
      </c>
      <c r="Y144" s="12" t="str">
        <f t="shared" si="31"/>
        <v>NO</v>
      </c>
      <c r="Z144" s="14" t="s">
        <v>219</v>
      </c>
      <c r="AA144" s="15">
        <f t="shared" ca="1" si="29"/>
        <v>-1860</v>
      </c>
      <c r="AB144" s="7">
        <f t="shared" si="32"/>
        <v>20</v>
      </c>
      <c r="AC144">
        <f t="shared" si="33"/>
        <v>11</v>
      </c>
      <c r="AD144">
        <f t="shared" si="34"/>
        <v>2020</v>
      </c>
    </row>
    <row r="145" spans="1:30" ht="18" x14ac:dyDescent="0.2">
      <c r="A145" s="27" t="s">
        <v>188</v>
      </c>
      <c r="B145" s="31"/>
      <c r="C145" s="27"/>
      <c r="D145" s="31"/>
      <c r="E145" s="27"/>
      <c r="F145" s="31"/>
      <c r="G145" s="27" t="s">
        <v>66</v>
      </c>
      <c r="H145" s="28"/>
      <c r="I145" s="29" t="s">
        <v>43</v>
      </c>
      <c r="J145" s="30"/>
      <c r="K145" s="29">
        <v>5821417</v>
      </c>
      <c r="L145" s="30"/>
      <c r="M145" s="32" t="s">
        <v>46</v>
      </c>
      <c r="N145" s="57"/>
      <c r="O145" s="33">
        <v>2.0000000000000001E-4</v>
      </c>
      <c r="P145" s="34"/>
      <c r="Q145" s="29" t="s">
        <v>121</v>
      </c>
      <c r="R145" s="30"/>
      <c r="S145" s="37">
        <v>45450</v>
      </c>
      <c r="T145" s="38"/>
      <c r="U145" s="9">
        <f t="shared" si="30"/>
        <v>45084</v>
      </c>
      <c r="V145" s="6" t="s">
        <v>241</v>
      </c>
      <c r="W145" s="1">
        <f t="shared" ca="1" si="35"/>
        <v>-565</v>
      </c>
      <c r="X145" s="16" t="str">
        <f t="shared" ca="1" si="28"/>
        <v>NO</v>
      </c>
      <c r="Y145" s="12" t="str">
        <f t="shared" si="31"/>
        <v>NO</v>
      </c>
      <c r="Z145" s="14" t="s">
        <v>126</v>
      </c>
      <c r="AA145" s="15">
        <f t="shared" ca="1" si="29"/>
        <v>-565</v>
      </c>
      <c r="AB145" s="7">
        <f t="shared" si="32"/>
        <v>7</v>
      </c>
      <c r="AC145">
        <f t="shared" si="33"/>
        <v>6</v>
      </c>
      <c r="AD145">
        <f t="shared" si="34"/>
        <v>2024</v>
      </c>
    </row>
    <row r="146" spans="1:30" ht="18" x14ac:dyDescent="0.2">
      <c r="A146" s="17"/>
      <c r="B146" s="18" t="s">
        <v>126</v>
      </c>
      <c r="C146" s="27"/>
      <c r="D146" s="31"/>
      <c r="E146" s="27"/>
      <c r="F146" s="31"/>
      <c r="G146" s="27" t="s">
        <v>66</v>
      </c>
      <c r="H146" s="28"/>
      <c r="I146" s="29" t="s">
        <v>43</v>
      </c>
      <c r="J146" s="30"/>
      <c r="K146" s="29">
        <v>5821417</v>
      </c>
      <c r="L146" s="30"/>
      <c r="M146" s="32" t="s">
        <v>46</v>
      </c>
      <c r="N146" s="57"/>
      <c r="O146" s="33">
        <v>2.0000000000000001E-4</v>
      </c>
      <c r="P146" s="34"/>
      <c r="Q146" s="29" t="s">
        <v>240</v>
      </c>
      <c r="R146" s="30"/>
      <c r="S146" s="37">
        <v>45815</v>
      </c>
      <c r="T146" s="38"/>
      <c r="U146" s="9">
        <f>DATE(AD146-1,AC146,AB146)</f>
        <v>45450</v>
      </c>
      <c r="V146" s="6" t="s">
        <v>241</v>
      </c>
      <c r="W146" s="1">
        <f t="shared" ca="1" si="35"/>
        <v>-200</v>
      </c>
      <c r="X146" s="16" t="str">
        <f t="shared" ca="1" si="28"/>
        <v>NO</v>
      </c>
      <c r="Y146" s="12" t="str">
        <f>IF(AND($Z$1&gt;=U146,$Z$1&lt;=S146),"OK","NO")</f>
        <v>NO</v>
      </c>
      <c r="Z146" s="14" t="s">
        <v>126</v>
      </c>
      <c r="AA146" s="15">
        <f t="shared" ca="1" si="29"/>
        <v>-200</v>
      </c>
      <c r="AB146" s="7">
        <f>DAY(S146)</f>
        <v>7</v>
      </c>
      <c r="AC146">
        <f>MONTH(S146)</f>
        <v>6</v>
      </c>
      <c r="AD146">
        <f>YEAR(S146)</f>
        <v>2025</v>
      </c>
    </row>
    <row r="147" spans="1:30" ht="18" x14ac:dyDescent="0.2">
      <c r="A147" s="25"/>
      <c r="B147" s="26" t="s">
        <v>126</v>
      </c>
      <c r="C147" s="27"/>
      <c r="D147" s="31"/>
      <c r="E147" s="27"/>
      <c r="F147" s="31"/>
      <c r="G147" s="27" t="s">
        <v>66</v>
      </c>
      <c r="H147" s="28"/>
      <c r="I147" s="29" t="s">
        <v>43</v>
      </c>
      <c r="J147" s="30"/>
      <c r="K147" s="29">
        <v>5821417</v>
      </c>
      <c r="L147" s="30"/>
      <c r="M147" s="32" t="s">
        <v>46</v>
      </c>
      <c r="N147" s="57"/>
      <c r="O147" s="33">
        <v>2.0000000000000001E-4</v>
      </c>
      <c r="P147" s="34"/>
      <c r="Q147" s="29" t="s">
        <v>299</v>
      </c>
      <c r="R147" s="30"/>
      <c r="S147" s="37">
        <v>46186</v>
      </c>
      <c r="T147" s="38"/>
      <c r="U147" s="9">
        <f>DATE(AD147-1,AC147,AB147)</f>
        <v>45821</v>
      </c>
      <c r="V147" s="6" t="s">
        <v>241</v>
      </c>
      <c r="W147" s="1">
        <f t="shared" ca="1" si="35"/>
        <v>171</v>
      </c>
      <c r="X147" s="16" t="str">
        <f t="shared" ca="1" si="28"/>
        <v>NO</v>
      </c>
      <c r="Y147" s="12" t="str">
        <f>IF(AND($Z$1&gt;=U147,$Z$1&lt;=S147),"OK","NO")</f>
        <v>OK</v>
      </c>
      <c r="Z147" s="14" t="s">
        <v>188</v>
      </c>
      <c r="AA147" s="15">
        <f t="shared" ca="1" si="29"/>
        <v>171</v>
      </c>
      <c r="AB147" s="7">
        <f>DAY(S147)</f>
        <v>13</v>
      </c>
      <c r="AC147">
        <f>MONTH(S147)</f>
        <v>6</v>
      </c>
      <c r="AD147">
        <f>YEAR(S147)</f>
        <v>2026</v>
      </c>
    </row>
    <row r="148" spans="1:30" ht="18" x14ac:dyDescent="0.2">
      <c r="A148" s="17"/>
      <c r="B148" s="18" t="s">
        <v>188</v>
      </c>
      <c r="C148" s="27"/>
      <c r="D148" s="31"/>
      <c r="E148" s="27"/>
      <c r="F148" s="31"/>
      <c r="G148" s="27" t="s">
        <v>66</v>
      </c>
      <c r="H148" s="28"/>
      <c r="I148" s="29" t="s">
        <v>43</v>
      </c>
      <c r="J148" s="30"/>
      <c r="K148" s="88">
        <v>5821414</v>
      </c>
      <c r="L148" s="30"/>
      <c r="M148" s="32" t="s">
        <v>46</v>
      </c>
      <c r="N148" s="57"/>
      <c r="O148" s="33">
        <v>2.0000000000000001E-4</v>
      </c>
      <c r="P148" s="34"/>
      <c r="Q148" s="29" t="s">
        <v>122</v>
      </c>
      <c r="R148" s="30"/>
      <c r="S148" s="37">
        <v>45450</v>
      </c>
      <c r="T148" s="38"/>
      <c r="U148" s="9">
        <f>DATE(AD148-1,AC148,AB148)</f>
        <v>45084</v>
      </c>
      <c r="V148" s="6" t="s">
        <v>239</v>
      </c>
      <c r="W148" s="1">
        <f t="shared" ca="1" si="35"/>
        <v>-565</v>
      </c>
      <c r="X148" s="16" t="str">
        <f t="shared" ca="1" si="28"/>
        <v>NO</v>
      </c>
      <c r="Y148" s="12" t="str">
        <f>IF(AND($Z$1&gt;=U148,$Z$1&lt;=S148),"OK","NO")</f>
        <v>NO</v>
      </c>
      <c r="Z148" s="14" t="s">
        <v>126</v>
      </c>
      <c r="AA148" s="15">
        <f t="shared" ca="1" si="29"/>
        <v>-565</v>
      </c>
      <c r="AB148" s="7">
        <f>DAY(S148)</f>
        <v>7</v>
      </c>
      <c r="AC148">
        <f>MONTH(S148)</f>
        <v>6</v>
      </c>
      <c r="AD148">
        <f>YEAR(S148)</f>
        <v>2024</v>
      </c>
    </row>
    <row r="149" spans="1:30" ht="18" x14ac:dyDescent="0.2">
      <c r="A149" s="27" t="s">
        <v>126</v>
      </c>
      <c r="B149" s="31"/>
      <c r="C149" s="27"/>
      <c r="D149" s="31"/>
      <c r="E149" s="27"/>
      <c r="F149" s="31"/>
      <c r="G149" s="27" t="s">
        <v>66</v>
      </c>
      <c r="H149" s="28"/>
      <c r="I149" s="29" t="s">
        <v>43</v>
      </c>
      <c r="J149" s="30"/>
      <c r="K149" s="88">
        <v>5821414</v>
      </c>
      <c r="L149" s="30"/>
      <c r="M149" s="32" t="s">
        <v>46</v>
      </c>
      <c r="N149" s="57"/>
      <c r="O149" s="33">
        <v>2.0000000000000001E-4</v>
      </c>
      <c r="P149" s="34"/>
      <c r="Q149" s="29" t="s">
        <v>238</v>
      </c>
      <c r="R149" s="30"/>
      <c r="S149" s="37">
        <v>45815</v>
      </c>
      <c r="T149" s="38"/>
      <c r="U149" s="9">
        <f t="shared" si="30"/>
        <v>45450</v>
      </c>
      <c r="V149" s="6" t="s">
        <v>239</v>
      </c>
      <c r="W149" s="1">
        <f t="shared" ca="1" si="35"/>
        <v>-200</v>
      </c>
      <c r="X149" s="16" t="str">
        <f t="shared" ca="1" si="28"/>
        <v>SI</v>
      </c>
      <c r="Y149" s="12" t="str">
        <f t="shared" si="31"/>
        <v>NO</v>
      </c>
      <c r="Z149" s="14" t="s">
        <v>188</v>
      </c>
      <c r="AA149" s="15">
        <f t="shared" ca="1" si="29"/>
        <v>-200</v>
      </c>
      <c r="AB149" s="7">
        <f t="shared" si="32"/>
        <v>7</v>
      </c>
      <c r="AC149">
        <f t="shared" si="33"/>
        <v>6</v>
      </c>
      <c r="AD149">
        <f t="shared" si="34"/>
        <v>2025</v>
      </c>
    </row>
    <row r="150" spans="1:30" ht="18" x14ac:dyDescent="0.2">
      <c r="A150" s="27" t="s">
        <v>188</v>
      </c>
      <c r="B150" s="31"/>
      <c r="C150" s="27"/>
      <c r="D150" s="31"/>
      <c r="E150" s="27"/>
      <c r="F150" s="31"/>
      <c r="G150" s="27" t="s">
        <v>49</v>
      </c>
      <c r="H150" s="28"/>
      <c r="I150" s="29" t="s">
        <v>53</v>
      </c>
      <c r="J150" s="30"/>
      <c r="K150" s="29" t="s">
        <v>54</v>
      </c>
      <c r="L150" s="30"/>
      <c r="M150" s="32" t="s">
        <v>55</v>
      </c>
      <c r="N150" s="57"/>
      <c r="O150" s="33">
        <v>5.0000000000000001E-3</v>
      </c>
      <c r="P150" s="34"/>
      <c r="Q150" s="29" t="s">
        <v>194</v>
      </c>
      <c r="R150" s="30"/>
      <c r="S150" s="37">
        <v>45044</v>
      </c>
      <c r="T150" s="38"/>
      <c r="U150" s="9">
        <f t="shared" si="30"/>
        <v>44679</v>
      </c>
      <c r="V150" s="22" t="s">
        <v>265</v>
      </c>
      <c r="W150" s="1">
        <f t="shared" ca="1" si="35"/>
        <v>-971</v>
      </c>
      <c r="X150" s="16" t="str">
        <f t="shared" ca="1" si="28"/>
        <v>NO</v>
      </c>
      <c r="Y150" s="12" t="str">
        <f t="shared" si="31"/>
        <v>NO</v>
      </c>
      <c r="Z150" s="14" t="s">
        <v>126</v>
      </c>
      <c r="AA150" s="15">
        <f t="shared" ca="1" si="29"/>
        <v>-971</v>
      </c>
      <c r="AB150" s="7">
        <f t="shared" si="32"/>
        <v>28</v>
      </c>
      <c r="AC150">
        <f t="shared" si="33"/>
        <v>4</v>
      </c>
      <c r="AD150">
        <f t="shared" si="34"/>
        <v>2023</v>
      </c>
    </row>
    <row r="151" spans="1:30" ht="18" x14ac:dyDescent="0.2">
      <c r="A151" s="27" t="s">
        <v>188</v>
      </c>
      <c r="B151" s="31"/>
      <c r="C151" s="27"/>
      <c r="D151" s="31"/>
      <c r="E151" s="27"/>
      <c r="F151" s="31"/>
      <c r="G151" s="27" t="s">
        <v>49</v>
      </c>
      <c r="H151" s="28"/>
      <c r="I151" s="29" t="s">
        <v>53</v>
      </c>
      <c r="J151" s="30"/>
      <c r="K151" s="84" t="s">
        <v>54</v>
      </c>
      <c r="L151" s="85"/>
      <c r="M151" s="32" t="s">
        <v>55</v>
      </c>
      <c r="N151" s="57"/>
      <c r="O151" s="33">
        <v>5.0000000000000001E-3</v>
      </c>
      <c r="P151" s="34"/>
      <c r="Q151" s="29" t="s">
        <v>80</v>
      </c>
      <c r="R151" s="30"/>
      <c r="S151" s="37">
        <v>45416</v>
      </c>
      <c r="T151" s="38"/>
      <c r="U151" s="9">
        <f t="shared" si="30"/>
        <v>45050</v>
      </c>
      <c r="V151" s="22" t="s">
        <v>265</v>
      </c>
      <c r="W151" s="1">
        <f t="shared" ca="1" si="35"/>
        <v>-599</v>
      </c>
      <c r="X151" s="16" t="str">
        <f t="shared" ca="1" si="28"/>
        <v>NO</v>
      </c>
      <c r="Y151" s="12" t="str">
        <f t="shared" si="31"/>
        <v>NO</v>
      </c>
      <c r="Z151" s="14" t="s">
        <v>126</v>
      </c>
      <c r="AA151" s="15">
        <f t="shared" ca="1" si="29"/>
        <v>-599</v>
      </c>
      <c r="AB151" s="7">
        <f t="shared" si="32"/>
        <v>4</v>
      </c>
      <c r="AC151">
        <f t="shared" si="33"/>
        <v>5</v>
      </c>
      <c r="AD151">
        <f t="shared" si="34"/>
        <v>2024</v>
      </c>
    </row>
    <row r="152" spans="1:30" ht="18" x14ac:dyDescent="0.2">
      <c r="A152" s="27" t="s">
        <v>126</v>
      </c>
      <c r="B152" s="31"/>
      <c r="C152" s="27"/>
      <c r="D152" s="31"/>
      <c r="E152" s="27"/>
      <c r="F152" s="31"/>
      <c r="G152" s="97" t="s">
        <v>49</v>
      </c>
      <c r="H152" s="98"/>
      <c r="I152" s="29" t="s">
        <v>53</v>
      </c>
      <c r="J152" s="30"/>
      <c r="K152" s="84" t="s">
        <v>54</v>
      </c>
      <c r="L152" s="85"/>
      <c r="M152" s="61" t="s">
        <v>55</v>
      </c>
      <c r="N152" s="62"/>
      <c r="O152" s="33">
        <v>5.0000000000000001E-3</v>
      </c>
      <c r="P152" s="34"/>
      <c r="Q152" s="35" t="s">
        <v>195</v>
      </c>
      <c r="R152" s="36"/>
      <c r="S152" s="37">
        <v>45794</v>
      </c>
      <c r="T152" s="38"/>
      <c r="U152" s="9">
        <f t="shared" si="30"/>
        <v>45429</v>
      </c>
      <c r="V152" s="22" t="s">
        <v>265</v>
      </c>
      <c r="W152" s="1">
        <f t="shared" ca="1" si="35"/>
        <v>-221</v>
      </c>
      <c r="X152" s="16" t="str">
        <f t="shared" ca="1" si="28"/>
        <v>NO</v>
      </c>
      <c r="Y152" s="12" t="str">
        <f t="shared" si="31"/>
        <v>NO</v>
      </c>
      <c r="Z152" s="14" t="s">
        <v>126</v>
      </c>
      <c r="AA152" s="15">
        <f t="shared" ca="1" si="29"/>
        <v>-221</v>
      </c>
      <c r="AB152" s="7">
        <f t="shared" si="32"/>
        <v>17</v>
      </c>
      <c r="AC152">
        <f t="shared" si="33"/>
        <v>5</v>
      </c>
      <c r="AD152">
        <f t="shared" si="34"/>
        <v>2025</v>
      </c>
    </row>
    <row r="153" spans="1:30" ht="18" x14ac:dyDescent="0.2">
      <c r="A153" s="27" t="s">
        <v>126</v>
      </c>
      <c r="B153" s="31"/>
      <c r="C153" s="27"/>
      <c r="D153" s="31"/>
      <c r="E153" s="27"/>
      <c r="F153" s="31"/>
      <c r="G153" s="97" t="s">
        <v>49</v>
      </c>
      <c r="H153" s="98"/>
      <c r="I153" s="29" t="s">
        <v>53</v>
      </c>
      <c r="J153" s="30"/>
      <c r="K153" s="84" t="s">
        <v>54</v>
      </c>
      <c r="L153" s="85"/>
      <c r="M153" s="61" t="s">
        <v>55</v>
      </c>
      <c r="N153" s="62"/>
      <c r="O153" s="33">
        <v>5.0000000000000001E-3</v>
      </c>
      <c r="P153" s="34"/>
      <c r="Q153" s="35" t="s">
        <v>293</v>
      </c>
      <c r="R153" s="36"/>
      <c r="S153" s="37">
        <v>46162</v>
      </c>
      <c r="T153" s="38"/>
      <c r="U153" s="9">
        <f>DATE(AD153-1,AC153,AB153)</f>
        <v>45797</v>
      </c>
      <c r="V153" s="22" t="s">
        <v>265</v>
      </c>
      <c r="W153" s="1">
        <f t="shared" ca="1" si="35"/>
        <v>147</v>
      </c>
      <c r="X153" s="16" t="str">
        <f t="shared" ca="1" si="28"/>
        <v>NO</v>
      </c>
      <c r="Y153" s="12" t="str">
        <f>IF(AND($Z$1&gt;=U153,$Z$1&lt;=S153),"OK","NO")</f>
        <v>OK</v>
      </c>
      <c r="Z153" s="14" t="s">
        <v>188</v>
      </c>
      <c r="AA153" s="15">
        <f t="shared" ca="1" si="29"/>
        <v>147</v>
      </c>
      <c r="AB153" s="7">
        <f>DAY(S153)</f>
        <v>20</v>
      </c>
      <c r="AC153">
        <f>MONTH(S153)</f>
        <v>5</v>
      </c>
      <c r="AD153">
        <f>YEAR(S153)</f>
        <v>2026</v>
      </c>
    </row>
    <row r="154" spans="1:30" ht="18" x14ac:dyDescent="0.2">
      <c r="A154" s="27" t="s">
        <v>188</v>
      </c>
      <c r="B154" s="31"/>
      <c r="C154" s="27"/>
      <c r="D154" s="31"/>
      <c r="E154" s="27"/>
      <c r="F154" s="31"/>
      <c r="G154" s="27" t="s">
        <v>49</v>
      </c>
      <c r="H154" s="28"/>
      <c r="I154" s="29" t="s">
        <v>53</v>
      </c>
      <c r="J154" s="30"/>
      <c r="K154" s="29" t="s">
        <v>56</v>
      </c>
      <c r="L154" s="30"/>
      <c r="M154" s="32" t="s">
        <v>57</v>
      </c>
      <c r="N154" s="57"/>
      <c r="O154" s="33">
        <v>5.0000000000000001E-3</v>
      </c>
      <c r="P154" s="34"/>
      <c r="Q154" s="29" t="s">
        <v>192</v>
      </c>
      <c r="R154" s="30"/>
      <c r="S154" s="37">
        <v>45044</v>
      </c>
      <c r="T154" s="38"/>
      <c r="U154" s="9">
        <f t="shared" si="30"/>
        <v>44679</v>
      </c>
      <c r="V154" s="22" t="s">
        <v>266</v>
      </c>
      <c r="W154" s="1">
        <f t="shared" ca="1" si="35"/>
        <v>-971</v>
      </c>
      <c r="X154" s="16" t="str">
        <f t="shared" ca="1" si="28"/>
        <v>NO</v>
      </c>
      <c r="Y154" s="12" t="str">
        <f t="shared" si="31"/>
        <v>NO</v>
      </c>
      <c r="Z154" s="14" t="s">
        <v>126</v>
      </c>
      <c r="AA154" s="15">
        <f t="shared" ca="1" si="29"/>
        <v>-971</v>
      </c>
      <c r="AB154" s="7">
        <f t="shared" si="32"/>
        <v>28</v>
      </c>
      <c r="AC154">
        <f t="shared" si="33"/>
        <v>4</v>
      </c>
      <c r="AD154">
        <f t="shared" si="34"/>
        <v>2023</v>
      </c>
    </row>
    <row r="155" spans="1:30" ht="18" x14ac:dyDescent="0.2">
      <c r="A155" s="27" t="s">
        <v>188</v>
      </c>
      <c r="B155" s="31"/>
      <c r="C155" s="27"/>
      <c r="D155" s="31"/>
      <c r="E155" s="27"/>
      <c r="F155" s="31"/>
      <c r="G155" s="27" t="s">
        <v>49</v>
      </c>
      <c r="H155" s="28"/>
      <c r="I155" s="29" t="s">
        <v>53</v>
      </c>
      <c r="J155" s="30"/>
      <c r="K155" s="84" t="s">
        <v>56</v>
      </c>
      <c r="L155" s="85"/>
      <c r="M155" s="32" t="s">
        <v>57</v>
      </c>
      <c r="N155" s="57"/>
      <c r="O155" s="33">
        <v>5.0000000000000001E-3</v>
      </c>
      <c r="P155" s="34"/>
      <c r="Q155" s="29" t="s">
        <v>242</v>
      </c>
      <c r="R155" s="30"/>
      <c r="S155" s="37">
        <v>45416</v>
      </c>
      <c r="T155" s="38"/>
      <c r="U155" s="9">
        <f t="shared" si="30"/>
        <v>45050</v>
      </c>
      <c r="V155" s="22" t="s">
        <v>266</v>
      </c>
      <c r="W155" s="1">
        <f t="shared" ca="1" si="35"/>
        <v>-599</v>
      </c>
      <c r="X155" s="16" t="str">
        <f t="shared" ca="1" si="28"/>
        <v>NO</v>
      </c>
      <c r="Y155" s="12" t="str">
        <f t="shared" si="31"/>
        <v>NO</v>
      </c>
      <c r="Z155" s="14" t="s">
        <v>126</v>
      </c>
      <c r="AA155" s="15">
        <f t="shared" ca="1" si="29"/>
        <v>-599</v>
      </c>
      <c r="AB155" s="7">
        <f t="shared" si="32"/>
        <v>4</v>
      </c>
      <c r="AC155">
        <f t="shared" si="33"/>
        <v>5</v>
      </c>
      <c r="AD155">
        <f t="shared" si="34"/>
        <v>2024</v>
      </c>
    </row>
    <row r="156" spans="1:30" ht="18" x14ac:dyDescent="0.2">
      <c r="A156" s="27" t="s">
        <v>126</v>
      </c>
      <c r="B156" s="31"/>
      <c r="C156" s="27"/>
      <c r="D156" s="31"/>
      <c r="E156" s="27"/>
      <c r="F156" s="31"/>
      <c r="G156" s="97" t="s">
        <v>49</v>
      </c>
      <c r="H156" s="98"/>
      <c r="I156" s="29" t="s">
        <v>53</v>
      </c>
      <c r="J156" s="30"/>
      <c r="K156" s="84" t="s">
        <v>56</v>
      </c>
      <c r="L156" s="85"/>
      <c r="M156" s="61" t="s">
        <v>57</v>
      </c>
      <c r="N156" s="62"/>
      <c r="O156" s="33">
        <v>5.0000000000000001E-3</v>
      </c>
      <c r="P156" s="34"/>
      <c r="Q156" s="35" t="s">
        <v>221</v>
      </c>
      <c r="R156" s="36"/>
      <c r="S156" s="37">
        <v>45794</v>
      </c>
      <c r="T156" s="38"/>
      <c r="U156" s="9">
        <f t="shared" si="30"/>
        <v>45429</v>
      </c>
      <c r="V156" s="22" t="s">
        <v>266</v>
      </c>
      <c r="W156" s="1">
        <f t="shared" ca="1" si="35"/>
        <v>-221</v>
      </c>
      <c r="X156" s="16" t="str">
        <f t="shared" ca="1" si="28"/>
        <v>NO</v>
      </c>
      <c r="Y156" s="12" t="str">
        <f t="shared" si="31"/>
        <v>NO</v>
      </c>
      <c r="Z156" s="14" t="s">
        <v>126</v>
      </c>
      <c r="AA156" s="15">
        <f t="shared" ca="1" si="29"/>
        <v>-221</v>
      </c>
      <c r="AB156" s="7">
        <f t="shared" si="32"/>
        <v>17</v>
      </c>
      <c r="AC156">
        <f t="shared" si="33"/>
        <v>5</v>
      </c>
      <c r="AD156">
        <f t="shared" si="34"/>
        <v>2025</v>
      </c>
    </row>
    <row r="157" spans="1:30" ht="18" x14ac:dyDescent="0.2">
      <c r="A157" s="27" t="s">
        <v>126</v>
      </c>
      <c r="B157" s="31"/>
      <c r="C157" s="27"/>
      <c r="D157" s="31"/>
      <c r="E157" s="27"/>
      <c r="F157" s="31"/>
      <c r="G157" s="97" t="s">
        <v>49</v>
      </c>
      <c r="H157" s="98"/>
      <c r="I157" s="29" t="s">
        <v>53</v>
      </c>
      <c r="J157" s="30"/>
      <c r="K157" s="84" t="s">
        <v>56</v>
      </c>
      <c r="L157" s="85"/>
      <c r="M157" s="61" t="s">
        <v>57</v>
      </c>
      <c r="N157" s="62"/>
      <c r="O157" s="33">
        <v>5.0000000000000001E-3</v>
      </c>
      <c r="P157" s="34"/>
      <c r="Q157" s="35" t="s">
        <v>295</v>
      </c>
      <c r="R157" s="36"/>
      <c r="S157" s="37">
        <v>46162</v>
      </c>
      <c r="T157" s="38"/>
      <c r="U157" s="9">
        <f>DATE(AD157-1,AC157,AB157)</f>
        <v>45797</v>
      </c>
      <c r="V157" s="22" t="s">
        <v>266</v>
      </c>
      <c r="W157" s="1">
        <f t="shared" ca="1" si="35"/>
        <v>147</v>
      </c>
      <c r="X157" s="16" t="str">
        <f t="shared" ca="1" si="28"/>
        <v>NO</v>
      </c>
      <c r="Y157" s="12" t="str">
        <f>IF(AND($Z$1&gt;=U157,$Z$1&lt;=S157),"OK","NO")</f>
        <v>OK</v>
      </c>
      <c r="Z157" s="14" t="s">
        <v>188</v>
      </c>
      <c r="AA157" s="15">
        <f t="shared" ca="1" si="29"/>
        <v>147</v>
      </c>
      <c r="AB157" s="7">
        <f>DAY(S157)</f>
        <v>20</v>
      </c>
      <c r="AC157">
        <f>MONTH(S157)</f>
        <v>5</v>
      </c>
      <c r="AD157">
        <f>YEAR(S157)</f>
        <v>2026</v>
      </c>
    </row>
    <row r="158" spans="1:30" ht="18" x14ac:dyDescent="0.2">
      <c r="A158" s="27" t="s">
        <v>188</v>
      </c>
      <c r="B158" s="31"/>
      <c r="C158" s="27"/>
      <c r="D158" s="31"/>
      <c r="E158" s="27"/>
      <c r="F158" s="31"/>
      <c r="G158" s="27" t="s">
        <v>49</v>
      </c>
      <c r="H158" s="28"/>
      <c r="I158" s="29" t="s">
        <v>53</v>
      </c>
      <c r="J158" s="30"/>
      <c r="K158" s="29" t="s">
        <v>58</v>
      </c>
      <c r="L158" s="30"/>
      <c r="M158" s="32" t="s">
        <v>59</v>
      </c>
      <c r="N158" s="57"/>
      <c r="O158" s="33">
        <v>5.0000000000000001E-3</v>
      </c>
      <c r="P158" s="34"/>
      <c r="Q158" s="29" t="s">
        <v>192</v>
      </c>
      <c r="R158" s="30"/>
      <c r="S158" s="37">
        <v>45044</v>
      </c>
      <c r="T158" s="38"/>
      <c r="U158" s="9">
        <f t="shared" si="30"/>
        <v>44679</v>
      </c>
      <c r="V158" s="22" t="s">
        <v>267</v>
      </c>
      <c r="W158" s="1">
        <f t="shared" ca="1" si="35"/>
        <v>-971</v>
      </c>
      <c r="X158" s="16" t="str">
        <f t="shared" ca="1" si="28"/>
        <v>NO</v>
      </c>
      <c r="Y158" s="12" t="str">
        <f t="shared" si="31"/>
        <v>NO</v>
      </c>
      <c r="Z158" s="14" t="s">
        <v>126</v>
      </c>
      <c r="AA158" s="15">
        <f t="shared" ca="1" si="29"/>
        <v>-971</v>
      </c>
      <c r="AB158" s="7">
        <f t="shared" si="32"/>
        <v>28</v>
      </c>
      <c r="AC158">
        <f t="shared" si="33"/>
        <v>4</v>
      </c>
      <c r="AD158">
        <f t="shared" si="34"/>
        <v>2023</v>
      </c>
    </row>
    <row r="159" spans="1:30" ht="18" x14ac:dyDescent="0.2">
      <c r="A159" s="27" t="s">
        <v>188</v>
      </c>
      <c r="B159" s="31"/>
      <c r="C159" s="27"/>
      <c r="D159" s="31"/>
      <c r="E159" s="27"/>
      <c r="F159" s="31"/>
      <c r="G159" s="27" t="s">
        <v>49</v>
      </c>
      <c r="H159" s="28"/>
      <c r="I159" s="29" t="s">
        <v>53</v>
      </c>
      <c r="J159" s="30"/>
      <c r="K159" s="84" t="s">
        <v>58</v>
      </c>
      <c r="L159" s="85"/>
      <c r="M159" s="32" t="s">
        <v>59</v>
      </c>
      <c r="N159" s="57"/>
      <c r="O159" s="33">
        <v>5.0000000000000001E-3</v>
      </c>
      <c r="P159" s="34"/>
      <c r="Q159" s="29" t="s">
        <v>82</v>
      </c>
      <c r="R159" s="30"/>
      <c r="S159" s="37">
        <v>45416</v>
      </c>
      <c r="T159" s="38"/>
      <c r="U159" s="9">
        <f t="shared" si="30"/>
        <v>45050</v>
      </c>
      <c r="V159" s="22" t="s">
        <v>267</v>
      </c>
      <c r="W159" s="1">
        <f t="shared" ca="1" si="35"/>
        <v>-599</v>
      </c>
      <c r="X159" s="16" t="str">
        <f t="shared" ca="1" si="28"/>
        <v>NO</v>
      </c>
      <c r="Y159" s="12" t="str">
        <f t="shared" si="31"/>
        <v>NO</v>
      </c>
      <c r="Z159" s="14" t="s">
        <v>126</v>
      </c>
      <c r="AA159" s="15">
        <f t="shared" ca="1" si="29"/>
        <v>-599</v>
      </c>
      <c r="AB159" s="7">
        <f t="shared" si="32"/>
        <v>4</v>
      </c>
      <c r="AC159">
        <f t="shared" si="33"/>
        <v>5</v>
      </c>
      <c r="AD159">
        <f t="shared" si="34"/>
        <v>2024</v>
      </c>
    </row>
    <row r="160" spans="1:30" ht="18" x14ac:dyDescent="0.2">
      <c r="A160" s="27" t="s">
        <v>126</v>
      </c>
      <c r="B160" s="31"/>
      <c r="C160" s="27"/>
      <c r="D160" s="31"/>
      <c r="E160" s="27"/>
      <c r="F160" s="31"/>
      <c r="G160" s="97" t="s">
        <v>49</v>
      </c>
      <c r="H160" s="98"/>
      <c r="I160" s="29" t="s">
        <v>53</v>
      </c>
      <c r="J160" s="30"/>
      <c r="K160" s="84" t="s">
        <v>58</v>
      </c>
      <c r="L160" s="85"/>
      <c r="M160" s="61" t="s">
        <v>59</v>
      </c>
      <c r="N160" s="62"/>
      <c r="O160" s="33">
        <v>5.0000000000000001E-3</v>
      </c>
      <c r="P160" s="34"/>
      <c r="Q160" s="35" t="s">
        <v>193</v>
      </c>
      <c r="R160" s="36"/>
      <c r="S160" s="37">
        <v>45782</v>
      </c>
      <c r="T160" s="38"/>
      <c r="U160" s="9">
        <f t="shared" si="30"/>
        <v>45417</v>
      </c>
      <c r="V160" s="22" t="s">
        <v>267</v>
      </c>
      <c r="W160" s="1">
        <f t="shared" ca="1" si="35"/>
        <v>-233</v>
      </c>
      <c r="X160" s="16" t="str">
        <f t="shared" ca="1" si="28"/>
        <v>NO</v>
      </c>
      <c r="Y160" s="12" t="str">
        <f t="shared" si="31"/>
        <v>NO</v>
      </c>
      <c r="Z160" s="14" t="s">
        <v>126</v>
      </c>
      <c r="AA160" s="15">
        <f t="shared" ca="1" si="29"/>
        <v>-233</v>
      </c>
      <c r="AB160" s="7">
        <f t="shared" si="32"/>
        <v>5</v>
      </c>
      <c r="AC160">
        <f t="shared" si="33"/>
        <v>5</v>
      </c>
      <c r="AD160">
        <f t="shared" si="34"/>
        <v>2025</v>
      </c>
    </row>
    <row r="161" spans="1:30" ht="18" x14ac:dyDescent="0.2">
      <c r="A161" s="27" t="s">
        <v>126</v>
      </c>
      <c r="B161" s="31"/>
      <c r="C161" s="27"/>
      <c r="D161" s="31"/>
      <c r="E161" s="27"/>
      <c r="F161" s="31"/>
      <c r="G161" s="97" t="s">
        <v>49</v>
      </c>
      <c r="H161" s="98"/>
      <c r="I161" s="29" t="s">
        <v>53</v>
      </c>
      <c r="J161" s="30"/>
      <c r="K161" s="84" t="s">
        <v>58</v>
      </c>
      <c r="L161" s="85"/>
      <c r="M161" s="61" t="s">
        <v>59</v>
      </c>
      <c r="N161" s="62"/>
      <c r="O161" s="33">
        <v>5.0000000000000001E-3</v>
      </c>
      <c r="P161" s="34"/>
      <c r="Q161" s="35" t="s">
        <v>296</v>
      </c>
      <c r="R161" s="36"/>
      <c r="S161" s="37">
        <v>46150</v>
      </c>
      <c r="T161" s="38"/>
      <c r="U161" s="9">
        <f>DATE(AD161-1,AC161,AB161)</f>
        <v>45785</v>
      </c>
      <c r="V161" s="22" t="s">
        <v>267</v>
      </c>
      <c r="W161" s="1">
        <f t="shared" ca="1" si="35"/>
        <v>135</v>
      </c>
      <c r="X161" s="16" t="str">
        <f t="shared" ca="1" si="28"/>
        <v>NO</v>
      </c>
      <c r="Y161" s="12" t="str">
        <f>IF(AND($Z$1&gt;=U161,$Z$1&lt;=S161),"OK","NO")</f>
        <v>OK</v>
      </c>
      <c r="Z161" s="14" t="s">
        <v>188</v>
      </c>
      <c r="AA161" s="15">
        <f t="shared" ca="1" si="29"/>
        <v>135</v>
      </c>
      <c r="AB161" s="7">
        <f>DAY(S161)</f>
        <v>8</v>
      </c>
      <c r="AC161">
        <f>MONTH(S161)</f>
        <v>5</v>
      </c>
      <c r="AD161">
        <f>YEAR(S161)</f>
        <v>2026</v>
      </c>
    </row>
    <row r="162" spans="1:30" ht="18" x14ac:dyDescent="0.2">
      <c r="A162" s="27" t="s">
        <v>188</v>
      </c>
      <c r="B162" s="31"/>
      <c r="C162" s="27"/>
      <c r="D162" s="31"/>
      <c r="E162" s="27"/>
      <c r="F162" s="31"/>
      <c r="G162" s="27" t="s">
        <v>60</v>
      </c>
      <c r="H162" s="28"/>
      <c r="I162" s="29" t="s">
        <v>50</v>
      </c>
      <c r="J162" s="30"/>
      <c r="K162" s="29" t="s">
        <v>51</v>
      </c>
      <c r="L162" s="30"/>
      <c r="M162" s="32" t="s">
        <v>52</v>
      </c>
      <c r="N162" s="57"/>
      <c r="O162" s="33">
        <v>3.0000000000000001E-3</v>
      </c>
      <c r="P162" s="34"/>
      <c r="Q162" s="29" t="s">
        <v>196</v>
      </c>
      <c r="R162" s="30"/>
      <c r="S162" s="37">
        <v>45044</v>
      </c>
      <c r="T162" s="38"/>
      <c r="U162" s="9">
        <f t="shared" si="30"/>
        <v>44679</v>
      </c>
      <c r="V162" s="22" t="s">
        <v>268</v>
      </c>
      <c r="W162" s="1">
        <f t="shared" ca="1" si="35"/>
        <v>-971</v>
      </c>
      <c r="X162" s="16" t="str">
        <f t="shared" ca="1" si="28"/>
        <v>NO</v>
      </c>
      <c r="Y162" s="12" t="str">
        <f t="shared" si="31"/>
        <v>NO</v>
      </c>
      <c r="Z162" s="14" t="s">
        <v>126</v>
      </c>
      <c r="AA162" s="15">
        <f t="shared" ca="1" si="29"/>
        <v>-971</v>
      </c>
      <c r="AB162" s="7">
        <f t="shared" si="32"/>
        <v>28</v>
      </c>
      <c r="AC162">
        <f t="shared" si="33"/>
        <v>4</v>
      </c>
      <c r="AD162">
        <f t="shared" si="34"/>
        <v>2023</v>
      </c>
    </row>
    <row r="163" spans="1:30" ht="18" x14ac:dyDescent="0.2">
      <c r="A163" s="27" t="s">
        <v>188</v>
      </c>
      <c r="B163" s="31"/>
      <c r="C163" s="27"/>
      <c r="D163" s="31"/>
      <c r="E163" s="27"/>
      <c r="F163" s="31"/>
      <c r="G163" s="27" t="s">
        <v>60</v>
      </c>
      <c r="H163" s="28"/>
      <c r="I163" s="29" t="s">
        <v>50</v>
      </c>
      <c r="J163" s="30"/>
      <c r="K163" s="29" t="s">
        <v>51</v>
      </c>
      <c r="L163" s="30"/>
      <c r="M163" s="32" t="s">
        <v>52</v>
      </c>
      <c r="N163" s="57"/>
      <c r="O163" s="33">
        <v>3.0000000000000001E-3</v>
      </c>
      <c r="P163" s="34"/>
      <c r="Q163" s="29" t="s">
        <v>81</v>
      </c>
      <c r="R163" s="30"/>
      <c r="S163" s="37">
        <v>45416</v>
      </c>
      <c r="T163" s="38"/>
      <c r="U163" s="9">
        <f t="shared" si="30"/>
        <v>45050</v>
      </c>
      <c r="V163" s="22" t="s">
        <v>268</v>
      </c>
      <c r="W163" s="1">
        <f t="shared" ca="1" si="35"/>
        <v>-599</v>
      </c>
      <c r="X163" s="16" t="str">
        <f t="shared" ca="1" si="28"/>
        <v>NO</v>
      </c>
      <c r="Y163" s="12" t="str">
        <f t="shared" si="31"/>
        <v>NO</v>
      </c>
      <c r="Z163" s="14" t="s">
        <v>126</v>
      </c>
      <c r="AA163" s="15">
        <f t="shared" ca="1" si="29"/>
        <v>-599</v>
      </c>
      <c r="AB163" s="7">
        <f t="shared" si="32"/>
        <v>4</v>
      </c>
      <c r="AC163">
        <f t="shared" si="33"/>
        <v>5</v>
      </c>
      <c r="AD163">
        <f t="shared" si="34"/>
        <v>2024</v>
      </c>
    </row>
    <row r="164" spans="1:30" ht="18" x14ac:dyDescent="0.2">
      <c r="A164" s="27" t="s">
        <v>126</v>
      </c>
      <c r="B164" s="31"/>
      <c r="C164" s="27"/>
      <c r="D164" s="31"/>
      <c r="E164" s="27"/>
      <c r="F164" s="31"/>
      <c r="G164" s="27" t="s">
        <v>60</v>
      </c>
      <c r="H164" s="28"/>
      <c r="I164" s="29" t="s">
        <v>50</v>
      </c>
      <c r="J164" s="30"/>
      <c r="K164" s="29" t="s">
        <v>51</v>
      </c>
      <c r="L164" s="30"/>
      <c r="M164" s="32" t="s">
        <v>52</v>
      </c>
      <c r="N164" s="57"/>
      <c r="O164" s="33">
        <v>3.0000000000000001E-3</v>
      </c>
      <c r="P164" s="34"/>
      <c r="Q164" s="35" t="s">
        <v>197</v>
      </c>
      <c r="R164" s="36"/>
      <c r="S164" s="37">
        <v>45797</v>
      </c>
      <c r="T164" s="38"/>
      <c r="U164" s="9">
        <f t="shared" si="30"/>
        <v>45432</v>
      </c>
      <c r="V164" s="22" t="s">
        <v>268</v>
      </c>
      <c r="W164" s="1">
        <f t="shared" ca="1" si="35"/>
        <v>-218</v>
      </c>
      <c r="X164" s="16" t="str">
        <f t="shared" ca="1" si="28"/>
        <v>SI</v>
      </c>
      <c r="Y164" s="12" t="str">
        <f t="shared" si="31"/>
        <v>NO</v>
      </c>
      <c r="Z164" s="14" t="s">
        <v>188</v>
      </c>
      <c r="AA164" s="15">
        <f t="shared" ca="1" si="29"/>
        <v>-218</v>
      </c>
      <c r="AB164" s="7">
        <f t="shared" si="32"/>
        <v>20</v>
      </c>
      <c r="AC164">
        <f t="shared" si="33"/>
        <v>5</v>
      </c>
      <c r="AD164">
        <f t="shared" si="34"/>
        <v>2025</v>
      </c>
    </row>
    <row r="169" spans="1:30" x14ac:dyDescent="0.2">
      <c r="E169"/>
      <c r="F169"/>
      <c r="X169"/>
      <c r="Z169"/>
      <c r="AA169"/>
    </row>
    <row r="170" spans="1:30" x14ac:dyDescent="0.2">
      <c r="E170"/>
      <c r="F170"/>
      <c r="X170"/>
      <c r="Z170"/>
      <c r="AA170"/>
    </row>
    <row r="171" spans="1:30" x14ac:dyDescent="0.2">
      <c r="E171"/>
      <c r="F171"/>
      <c r="X171"/>
      <c r="Z171"/>
      <c r="AA171"/>
    </row>
    <row r="172" spans="1:30" x14ac:dyDescent="0.2">
      <c r="E172"/>
      <c r="F172"/>
      <c r="X172"/>
      <c r="Z172"/>
      <c r="AA172"/>
    </row>
    <row r="173" spans="1:30" x14ac:dyDescent="0.2">
      <c r="E173"/>
      <c r="F173"/>
      <c r="X173"/>
      <c r="Z173"/>
      <c r="AA173"/>
    </row>
    <row r="174" spans="1:30" x14ac:dyDescent="0.2">
      <c r="E174"/>
      <c r="F174"/>
      <c r="X174"/>
      <c r="Z174"/>
      <c r="AA174"/>
    </row>
    <row r="175" spans="1:30" x14ac:dyDescent="0.2">
      <c r="E175"/>
      <c r="F175"/>
      <c r="X175"/>
      <c r="Z175"/>
      <c r="AA175"/>
    </row>
    <row r="176" spans="1:30" x14ac:dyDescent="0.2">
      <c r="E176"/>
      <c r="F176"/>
      <c r="X176"/>
      <c r="Z176"/>
      <c r="AA176"/>
    </row>
    <row r="177" spans="5:27" x14ac:dyDescent="0.2">
      <c r="E177"/>
      <c r="F177"/>
      <c r="X177"/>
      <c r="Z177"/>
      <c r="AA177"/>
    </row>
    <row r="178" spans="5:27" x14ac:dyDescent="0.2">
      <c r="E178"/>
      <c r="F178"/>
      <c r="X178"/>
      <c r="Z178"/>
      <c r="AA178"/>
    </row>
    <row r="179" spans="5:27" x14ac:dyDescent="0.2">
      <c r="E179"/>
      <c r="F179"/>
      <c r="X179"/>
      <c r="Z179"/>
      <c r="AA179"/>
    </row>
    <row r="180" spans="5:27" x14ac:dyDescent="0.2">
      <c r="E180"/>
      <c r="F180"/>
      <c r="X180"/>
      <c r="Z180"/>
      <c r="AA180"/>
    </row>
    <row r="181" spans="5:27" x14ac:dyDescent="0.2">
      <c r="E181"/>
      <c r="F181"/>
      <c r="X181"/>
      <c r="Z181"/>
      <c r="AA181"/>
    </row>
    <row r="182" spans="5:27" x14ac:dyDescent="0.2">
      <c r="E182"/>
      <c r="F182"/>
      <c r="X182"/>
      <c r="Z182"/>
      <c r="AA182"/>
    </row>
    <row r="183" spans="5:27" x14ac:dyDescent="0.2">
      <c r="E183"/>
      <c r="F183"/>
      <c r="X183"/>
      <c r="Z183"/>
      <c r="AA183"/>
    </row>
    <row r="184" spans="5:27" x14ac:dyDescent="0.2">
      <c r="E184"/>
      <c r="F184"/>
      <c r="X184"/>
      <c r="Z184"/>
      <c r="AA184"/>
    </row>
    <row r="185" spans="5:27" x14ac:dyDescent="0.2">
      <c r="E185"/>
      <c r="F185"/>
      <c r="X185"/>
      <c r="Z185"/>
      <c r="AA185"/>
    </row>
    <row r="186" spans="5:27" x14ac:dyDescent="0.2">
      <c r="E186"/>
      <c r="F186"/>
      <c r="X186"/>
      <c r="Z186"/>
      <c r="AA186"/>
    </row>
    <row r="187" spans="5:27" x14ac:dyDescent="0.2">
      <c r="E187"/>
      <c r="F187"/>
      <c r="X187"/>
      <c r="Z187"/>
      <c r="AA187"/>
    </row>
    <row r="188" spans="5:27" x14ac:dyDescent="0.2">
      <c r="E188"/>
      <c r="F188"/>
      <c r="X188"/>
      <c r="Z188"/>
      <c r="AA188"/>
    </row>
    <row r="189" spans="5:27" x14ac:dyDescent="0.2">
      <c r="E189"/>
      <c r="F189"/>
      <c r="X189"/>
      <c r="Z189"/>
      <c r="AA189"/>
    </row>
    <row r="190" spans="5:27" x14ac:dyDescent="0.2">
      <c r="E190"/>
      <c r="F190"/>
      <c r="X190"/>
      <c r="Z190"/>
      <c r="AA190"/>
    </row>
    <row r="191" spans="5:27" x14ac:dyDescent="0.2">
      <c r="E191"/>
      <c r="F191"/>
      <c r="X191"/>
      <c r="Z191"/>
      <c r="AA191"/>
    </row>
  </sheetData>
  <autoFilter ref="A6:Z164" xr:uid="{00000000-0009-0000-0000-000000000000}">
    <filterColumn colId="0" showButton="0"/>
    <filterColumn colId="2" showButton="0"/>
    <filterColumn colId="4" showButton="0"/>
    <filterColumn colId="6" showButton="0"/>
    <filterColumn colId="8" showButton="0"/>
    <filterColumn colId="10" showButton="0"/>
    <filterColumn colId="12" showButton="0"/>
    <filterColumn colId="14" showButton="0"/>
    <filterColumn colId="16" showButton="0"/>
    <filterColumn colId="18" showButton="0"/>
  </autoFilter>
  <mergeCells count="1590">
    <mergeCell ref="C131:D131"/>
    <mergeCell ref="I139:J139"/>
    <mergeCell ref="K139:L139"/>
    <mergeCell ref="E131:F131"/>
    <mergeCell ref="E130:F130"/>
    <mergeCell ref="Q131:R131"/>
    <mergeCell ref="M137:N137"/>
    <mergeCell ref="Q138:R138"/>
    <mergeCell ref="E145:F145"/>
    <mergeCell ref="M123:N123"/>
    <mergeCell ref="I140:J140"/>
    <mergeCell ref="M130:N130"/>
    <mergeCell ref="K144:L144"/>
    <mergeCell ref="G133:H133"/>
    <mergeCell ref="I133:J133"/>
    <mergeCell ref="K133:L133"/>
    <mergeCell ref="M133:N133"/>
    <mergeCell ref="G130:H130"/>
    <mergeCell ref="I130:J130"/>
    <mergeCell ref="Q133:R133"/>
    <mergeCell ref="O130:P130"/>
    <mergeCell ref="Q140:R140"/>
    <mergeCell ref="I137:J137"/>
    <mergeCell ref="G131:H131"/>
    <mergeCell ref="I131:J131"/>
    <mergeCell ref="K126:L126"/>
    <mergeCell ref="K132:L132"/>
    <mergeCell ref="C135:D135"/>
    <mergeCell ref="C142:D142"/>
    <mergeCell ref="Q141:R141"/>
    <mergeCell ref="S141:T141"/>
    <mergeCell ref="G136:H136"/>
    <mergeCell ref="I136:J136"/>
    <mergeCell ref="S148:T148"/>
    <mergeCell ref="S144:T144"/>
    <mergeCell ref="C140:D140"/>
    <mergeCell ref="E140:F140"/>
    <mergeCell ref="G140:H140"/>
    <mergeCell ref="E142:F142"/>
    <mergeCell ref="Q142:R142"/>
    <mergeCell ref="G139:H139"/>
    <mergeCell ref="O139:P139"/>
    <mergeCell ref="Q137:R137"/>
    <mergeCell ref="S137:T137"/>
    <mergeCell ref="S138:T138"/>
    <mergeCell ref="C143:D143"/>
    <mergeCell ref="E143:F143"/>
    <mergeCell ref="I143:J143"/>
    <mergeCell ref="C141:D141"/>
    <mergeCell ref="E141:F141"/>
    <mergeCell ref="G141:H141"/>
    <mergeCell ref="I141:J141"/>
    <mergeCell ref="K141:L141"/>
    <mergeCell ref="K137:L137"/>
    <mergeCell ref="C148:D148"/>
    <mergeCell ref="E139:F139"/>
    <mergeCell ref="Q130:R130"/>
    <mergeCell ref="O120:P120"/>
    <mergeCell ref="M77:N77"/>
    <mergeCell ref="M80:N80"/>
    <mergeCell ref="G77:H77"/>
    <mergeCell ref="Q97:R97"/>
    <mergeCell ref="K121:L121"/>
    <mergeCell ref="M83:N83"/>
    <mergeCell ref="O83:P83"/>
    <mergeCell ref="E76:F76"/>
    <mergeCell ref="E72:F72"/>
    <mergeCell ref="E75:F75"/>
    <mergeCell ref="E69:F69"/>
    <mergeCell ref="E78:F78"/>
    <mergeCell ref="E79:F79"/>
    <mergeCell ref="E94:F94"/>
    <mergeCell ref="K88:L88"/>
    <mergeCell ref="M75:N75"/>
    <mergeCell ref="G108:H108"/>
    <mergeCell ref="I99:J99"/>
    <mergeCell ref="G102:H102"/>
    <mergeCell ref="Q83:R83"/>
    <mergeCell ref="M107:N107"/>
    <mergeCell ref="O117:P117"/>
    <mergeCell ref="Q106:R106"/>
    <mergeCell ref="Q79:R79"/>
    <mergeCell ref="M121:N121"/>
    <mergeCell ref="Q128:R128"/>
    <mergeCell ref="M117:N117"/>
    <mergeCell ref="O118:P118"/>
    <mergeCell ref="E136:F136"/>
    <mergeCell ref="C137:D137"/>
    <mergeCell ref="E137:F137"/>
    <mergeCell ref="G135:H135"/>
    <mergeCell ref="O135:P135"/>
    <mergeCell ref="M95:N95"/>
    <mergeCell ref="I61:J61"/>
    <mergeCell ref="G76:H76"/>
    <mergeCell ref="I76:J76"/>
    <mergeCell ref="I64:J64"/>
    <mergeCell ref="E67:F67"/>
    <mergeCell ref="G74:H74"/>
    <mergeCell ref="I74:J74"/>
    <mergeCell ref="E80:F80"/>
    <mergeCell ref="G66:H66"/>
    <mergeCell ref="M134:N134"/>
    <mergeCell ref="G94:H94"/>
    <mergeCell ref="M124:N124"/>
    <mergeCell ref="O124:P124"/>
    <mergeCell ref="E82:F82"/>
    <mergeCell ref="E68:F68"/>
    <mergeCell ref="E73:F73"/>
    <mergeCell ref="E71:F71"/>
    <mergeCell ref="I121:J121"/>
    <mergeCell ref="M74:N74"/>
    <mergeCell ref="E117:F117"/>
    <mergeCell ref="E121:F121"/>
    <mergeCell ref="E123:F123"/>
    <mergeCell ref="E120:F120"/>
    <mergeCell ref="K124:L124"/>
    <mergeCell ref="E132:F132"/>
    <mergeCell ref="C128:D128"/>
    <mergeCell ref="O26:P26"/>
    <mergeCell ref="Q26:R26"/>
    <mergeCell ref="S26:T26"/>
    <mergeCell ref="Q36:R36"/>
    <mergeCell ref="M41:N41"/>
    <mergeCell ref="K136:L136"/>
    <mergeCell ref="M136:N136"/>
    <mergeCell ref="O136:P136"/>
    <mergeCell ref="O134:P134"/>
    <mergeCell ref="Q134:R134"/>
    <mergeCell ref="S135:T135"/>
    <mergeCell ref="Q136:R136"/>
    <mergeCell ref="S36:T36"/>
    <mergeCell ref="O111:P111"/>
    <mergeCell ref="Q111:R111"/>
    <mergeCell ref="S119:T119"/>
    <mergeCell ref="O116:P116"/>
    <mergeCell ref="K100:L100"/>
    <mergeCell ref="M68:N68"/>
    <mergeCell ref="M86:N86"/>
    <mergeCell ref="O62:P62"/>
    <mergeCell ref="Q135:R135"/>
    <mergeCell ref="Q96:R96"/>
    <mergeCell ref="O77:P77"/>
    <mergeCell ref="S77:T77"/>
    <mergeCell ref="K134:L134"/>
    <mergeCell ref="S106:T106"/>
    <mergeCell ref="Q121:R121"/>
    <mergeCell ref="Q86:R86"/>
    <mergeCell ref="S136:T136"/>
    <mergeCell ref="S120:T120"/>
    <mergeCell ref="S130:T130"/>
    <mergeCell ref="S20:T20"/>
    <mergeCell ref="I19:J19"/>
    <mergeCell ref="S21:T21"/>
    <mergeCell ref="Q20:R20"/>
    <mergeCell ref="O20:P20"/>
    <mergeCell ref="K19:L19"/>
    <mergeCell ref="M19:N19"/>
    <mergeCell ref="O19:P19"/>
    <mergeCell ref="M20:N20"/>
    <mergeCell ref="G25:H25"/>
    <mergeCell ref="I25:J25"/>
    <mergeCell ref="K25:L25"/>
    <mergeCell ref="M25:N25"/>
    <mergeCell ref="O25:P25"/>
    <mergeCell ref="Q25:R25"/>
    <mergeCell ref="S25:T25"/>
    <mergeCell ref="G23:H23"/>
    <mergeCell ref="I23:J23"/>
    <mergeCell ref="K21:L21"/>
    <mergeCell ref="M21:N21"/>
    <mergeCell ref="M23:N23"/>
    <mergeCell ref="O23:P23"/>
    <mergeCell ref="Q23:R23"/>
    <mergeCell ref="S23:T23"/>
    <mergeCell ref="K24:L24"/>
    <mergeCell ref="Q19:R19"/>
    <mergeCell ref="S19:T19"/>
    <mergeCell ref="M24:N24"/>
    <mergeCell ref="O24:P24"/>
    <mergeCell ref="G24:H24"/>
    <mergeCell ref="O18:P18"/>
    <mergeCell ref="Q18:R18"/>
    <mergeCell ref="S18:T18"/>
    <mergeCell ref="E17:F17"/>
    <mergeCell ref="Q17:R17"/>
    <mergeCell ref="O16:P16"/>
    <mergeCell ref="Q15:R15"/>
    <mergeCell ref="G15:H15"/>
    <mergeCell ref="I15:J15"/>
    <mergeCell ref="G17:H17"/>
    <mergeCell ref="I17:J17"/>
    <mergeCell ref="Q16:R16"/>
    <mergeCell ref="K17:L17"/>
    <mergeCell ref="M17:N17"/>
    <mergeCell ref="S16:T16"/>
    <mergeCell ref="G16:H16"/>
    <mergeCell ref="O17:P17"/>
    <mergeCell ref="S17:T17"/>
    <mergeCell ref="E16:F16"/>
    <mergeCell ref="S155:T155"/>
    <mergeCell ref="S156:T156"/>
    <mergeCell ref="A150:B150"/>
    <mergeCell ref="E144:F144"/>
    <mergeCell ref="E138:F138"/>
    <mergeCell ref="C144:D144"/>
    <mergeCell ref="G138:H138"/>
    <mergeCell ref="I138:J138"/>
    <mergeCell ref="A161:B161"/>
    <mergeCell ref="C161:D161"/>
    <mergeCell ref="M139:N139"/>
    <mergeCell ref="I158:J158"/>
    <mergeCell ref="K151:L151"/>
    <mergeCell ref="M152:N152"/>
    <mergeCell ref="M158:N158"/>
    <mergeCell ref="A162:B162"/>
    <mergeCell ref="C18:D18"/>
    <mergeCell ref="E18:F18"/>
    <mergeCell ref="G18:H18"/>
    <mergeCell ref="I18:J18"/>
    <mergeCell ref="K18:L18"/>
    <mergeCell ref="M18:N18"/>
    <mergeCell ref="A26:B26"/>
    <mergeCell ref="C26:D26"/>
    <mergeCell ref="E26:F26"/>
    <mergeCell ref="G26:H26"/>
    <mergeCell ref="I26:J26"/>
    <mergeCell ref="K26:L26"/>
    <mergeCell ref="M26:N26"/>
    <mergeCell ref="I96:J96"/>
    <mergeCell ref="E134:F134"/>
    <mergeCell ref="G134:H134"/>
    <mergeCell ref="G161:H161"/>
    <mergeCell ref="Q143:R143"/>
    <mergeCell ref="K160:L160"/>
    <mergeCell ref="I160:J160"/>
    <mergeCell ref="K138:L138"/>
    <mergeCell ref="M138:N138"/>
    <mergeCell ref="O138:P138"/>
    <mergeCell ref="Q150:R150"/>
    <mergeCell ref="M150:N150"/>
    <mergeCell ref="Q139:R139"/>
    <mergeCell ref="O144:P144"/>
    <mergeCell ref="O143:P143"/>
    <mergeCell ref="I144:J144"/>
    <mergeCell ref="M142:N142"/>
    <mergeCell ref="G142:H142"/>
    <mergeCell ref="I142:J142"/>
    <mergeCell ref="K142:L142"/>
    <mergeCell ref="K143:L143"/>
    <mergeCell ref="K140:L140"/>
    <mergeCell ref="S163:T163"/>
    <mergeCell ref="S151:T151"/>
    <mergeCell ref="S143:T143"/>
    <mergeCell ref="Q145:R145"/>
    <mergeCell ref="S145:T145"/>
    <mergeCell ref="K149:L149"/>
    <mergeCell ref="S162:T162"/>
    <mergeCell ref="K154:L154"/>
    <mergeCell ref="K162:L162"/>
    <mergeCell ref="M82:N82"/>
    <mergeCell ref="M72:N72"/>
    <mergeCell ref="I73:J73"/>
    <mergeCell ref="K73:L73"/>
    <mergeCell ref="M73:N73"/>
    <mergeCell ref="M84:N84"/>
    <mergeCell ref="O84:P84"/>
    <mergeCell ref="S112:T112"/>
    <mergeCell ref="S115:T115"/>
    <mergeCell ref="Q144:R144"/>
    <mergeCell ref="S142:T142"/>
    <mergeCell ref="S150:T150"/>
    <mergeCell ref="O150:P150"/>
    <mergeCell ref="M140:N140"/>
    <mergeCell ref="S133:T133"/>
    <mergeCell ref="S126:T126"/>
    <mergeCell ref="K115:L115"/>
    <mergeCell ref="S104:T104"/>
    <mergeCell ref="M105:N105"/>
    <mergeCell ref="S139:T139"/>
    <mergeCell ref="S140:T140"/>
    <mergeCell ref="O140:P140"/>
    <mergeCell ref="S157:T157"/>
    <mergeCell ref="Z1:Z4"/>
    <mergeCell ref="A86:B86"/>
    <mergeCell ref="C86:D86"/>
    <mergeCell ref="E86:F86"/>
    <mergeCell ref="G86:H86"/>
    <mergeCell ref="I86:J86"/>
    <mergeCell ref="S86:T86"/>
    <mergeCell ref="A88:B88"/>
    <mergeCell ref="C88:D88"/>
    <mergeCell ref="E88:F88"/>
    <mergeCell ref="G88:H88"/>
    <mergeCell ref="I88:J88"/>
    <mergeCell ref="C87:D87"/>
    <mergeCell ref="A87:B87"/>
    <mergeCell ref="Q87:R87"/>
    <mergeCell ref="S88:T88"/>
    <mergeCell ref="K86:L86"/>
    <mergeCell ref="A70:B70"/>
    <mergeCell ref="A46:B46"/>
    <mergeCell ref="A37:B37"/>
    <mergeCell ref="K40:L40"/>
    <mergeCell ref="O65:P65"/>
    <mergeCell ref="E45:F45"/>
    <mergeCell ref="M58:N58"/>
    <mergeCell ref="O58:P58"/>
    <mergeCell ref="Q37:R37"/>
    <mergeCell ref="M62:N62"/>
    <mergeCell ref="G1:W2"/>
    <mergeCell ref="G7:H7"/>
    <mergeCell ref="I7:J7"/>
    <mergeCell ref="S72:T72"/>
    <mergeCell ref="O72:P72"/>
    <mergeCell ref="C151:D151"/>
    <mergeCell ref="Q152:R152"/>
    <mergeCell ref="M151:N151"/>
    <mergeCell ref="O146:P146"/>
    <mergeCell ref="C152:D152"/>
    <mergeCell ref="Q157:R157"/>
    <mergeCell ref="E152:F152"/>
    <mergeCell ref="I145:J145"/>
    <mergeCell ref="I155:J155"/>
    <mergeCell ref="G155:H155"/>
    <mergeCell ref="G156:H156"/>
    <mergeCell ref="K146:L146"/>
    <mergeCell ref="M146:N146"/>
    <mergeCell ref="E148:F148"/>
    <mergeCell ref="Q155:R155"/>
    <mergeCell ref="I152:J152"/>
    <mergeCell ref="K150:L150"/>
    <mergeCell ref="I150:J150"/>
    <mergeCell ref="E150:F150"/>
    <mergeCell ref="E149:F149"/>
    <mergeCell ref="G149:H149"/>
    <mergeCell ref="I149:J149"/>
    <mergeCell ref="O151:P151"/>
    <mergeCell ref="Q151:R151"/>
    <mergeCell ref="Q154:R154"/>
    <mergeCell ref="K155:L155"/>
    <mergeCell ref="G152:H152"/>
    <mergeCell ref="A160:B160"/>
    <mergeCell ref="C160:D160"/>
    <mergeCell ref="E160:F160"/>
    <mergeCell ref="E153:F153"/>
    <mergeCell ref="G153:H153"/>
    <mergeCell ref="I153:J153"/>
    <mergeCell ref="K153:L153"/>
    <mergeCell ref="M153:N153"/>
    <mergeCell ref="O153:P153"/>
    <mergeCell ref="Q153:R153"/>
    <mergeCell ref="S153:T153"/>
    <mergeCell ref="C157:D157"/>
    <mergeCell ref="E157:F157"/>
    <mergeCell ref="G157:H157"/>
    <mergeCell ref="I157:J157"/>
    <mergeCell ref="K157:L157"/>
    <mergeCell ref="A154:B154"/>
    <mergeCell ref="A155:B155"/>
    <mergeCell ref="A158:B158"/>
    <mergeCell ref="S158:T158"/>
    <mergeCell ref="C153:D153"/>
    <mergeCell ref="O158:P158"/>
    <mergeCell ref="S154:T154"/>
    <mergeCell ref="E159:F159"/>
    <mergeCell ref="G159:H159"/>
    <mergeCell ref="I159:J159"/>
    <mergeCell ref="K159:L159"/>
    <mergeCell ref="Q159:R159"/>
    <mergeCell ref="G158:H158"/>
    <mergeCell ref="K156:L156"/>
    <mergeCell ref="I156:J156"/>
    <mergeCell ref="Q158:R158"/>
    <mergeCell ref="A152:B152"/>
    <mergeCell ref="M159:N159"/>
    <mergeCell ref="O159:P159"/>
    <mergeCell ref="A153:B153"/>
    <mergeCell ref="A164:B164"/>
    <mergeCell ref="A157:B157"/>
    <mergeCell ref="M157:N157"/>
    <mergeCell ref="O157:P157"/>
    <mergeCell ref="O155:P155"/>
    <mergeCell ref="M154:N154"/>
    <mergeCell ref="O154:P154"/>
    <mergeCell ref="E156:F156"/>
    <mergeCell ref="E163:F163"/>
    <mergeCell ref="C163:D163"/>
    <mergeCell ref="A159:B159"/>
    <mergeCell ref="C156:D156"/>
    <mergeCell ref="G160:H160"/>
    <mergeCell ref="C164:D164"/>
    <mergeCell ref="E164:F164"/>
    <mergeCell ref="G164:H164"/>
    <mergeCell ref="I164:J164"/>
    <mergeCell ref="K164:L164"/>
    <mergeCell ref="C162:D162"/>
    <mergeCell ref="E162:F162"/>
    <mergeCell ref="C159:D159"/>
    <mergeCell ref="C154:D154"/>
    <mergeCell ref="E154:F154"/>
    <mergeCell ref="C155:D155"/>
    <mergeCell ref="E155:F155"/>
    <mergeCell ref="G154:H154"/>
    <mergeCell ref="C158:D158"/>
    <mergeCell ref="E158:F158"/>
    <mergeCell ref="M164:N164"/>
    <mergeCell ref="O164:P164"/>
    <mergeCell ref="K98:L98"/>
    <mergeCell ref="K97:L97"/>
    <mergeCell ref="K95:L95"/>
    <mergeCell ref="K94:L94"/>
    <mergeCell ref="G98:H98"/>
    <mergeCell ref="I98:J98"/>
    <mergeCell ref="G97:H97"/>
    <mergeCell ref="G91:H91"/>
    <mergeCell ref="I91:J91"/>
    <mergeCell ref="K82:L82"/>
    <mergeCell ref="I85:J85"/>
    <mergeCell ref="O95:P95"/>
    <mergeCell ref="E87:F87"/>
    <mergeCell ref="K84:L84"/>
    <mergeCell ref="O86:P86"/>
    <mergeCell ref="E95:F95"/>
    <mergeCell ref="I94:J94"/>
    <mergeCell ref="M160:N160"/>
    <mergeCell ref="O160:P160"/>
    <mergeCell ref="E161:F161"/>
    <mergeCell ref="I161:J161"/>
    <mergeCell ref="K161:L161"/>
    <mergeCell ref="E96:F96"/>
    <mergeCell ref="E99:F99"/>
    <mergeCell ref="E89:F89"/>
    <mergeCell ref="E90:F90"/>
    <mergeCell ref="O121:P121"/>
    <mergeCell ref="M100:N100"/>
    <mergeCell ref="G113:H113"/>
    <mergeCell ref="E91:F91"/>
    <mergeCell ref="M67:N67"/>
    <mergeCell ref="O67:P67"/>
    <mergeCell ref="M66:N66"/>
    <mergeCell ref="O66:P66"/>
    <mergeCell ref="G65:H65"/>
    <mergeCell ref="G67:H67"/>
    <mergeCell ref="K63:L63"/>
    <mergeCell ref="M69:N69"/>
    <mergeCell ref="G68:H68"/>
    <mergeCell ref="I68:J68"/>
    <mergeCell ref="K68:L68"/>
    <mergeCell ref="Q72:R72"/>
    <mergeCell ref="I69:J69"/>
    <mergeCell ref="K69:L69"/>
    <mergeCell ref="I82:J82"/>
    <mergeCell ref="O105:P105"/>
    <mergeCell ref="S105:T105"/>
    <mergeCell ref="S102:T102"/>
    <mergeCell ref="Q102:R102"/>
    <mergeCell ref="I77:J77"/>
    <mergeCell ref="K77:L77"/>
    <mergeCell ref="G62:H62"/>
    <mergeCell ref="A44:B44"/>
    <mergeCell ref="C57:D57"/>
    <mergeCell ref="G70:H70"/>
    <mergeCell ref="I70:J70"/>
    <mergeCell ref="E81:F81"/>
    <mergeCell ref="K74:L74"/>
    <mergeCell ref="K49:L49"/>
    <mergeCell ref="I75:J75"/>
    <mergeCell ref="G72:H72"/>
    <mergeCell ref="K72:L72"/>
    <mergeCell ref="I66:J66"/>
    <mergeCell ref="G63:H63"/>
    <mergeCell ref="I63:J63"/>
    <mergeCell ref="G75:H75"/>
    <mergeCell ref="C76:D76"/>
    <mergeCell ref="K61:L61"/>
    <mergeCell ref="K76:L76"/>
    <mergeCell ref="A48:B48"/>
    <mergeCell ref="A51:B51"/>
    <mergeCell ref="A62:B62"/>
    <mergeCell ref="A74:B74"/>
    <mergeCell ref="A76:B76"/>
    <mergeCell ref="I80:J80"/>
    <mergeCell ref="I59:J59"/>
    <mergeCell ref="K59:L59"/>
    <mergeCell ref="G59:H59"/>
    <mergeCell ref="G61:H61"/>
    <mergeCell ref="G64:H64"/>
    <mergeCell ref="A141:B141"/>
    <mergeCell ref="C59:D59"/>
    <mergeCell ref="C58:D58"/>
    <mergeCell ref="C54:D54"/>
    <mergeCell ref="A45:B45"/>
    <mergeCell ref="C45:D45"/>
    <mergeCell ref="C80:D80"/>
    <mergeCell ref="A83:B83"/>
    <mergeCell ref="A64:B64"/>
    <mergeCell ref="A61:B61"/>
    <mergeCell ref="A58:B58"/>
    <mergeCell ref="A57:B57"/>
    <mergeCell ref="A133:B133"/>
    <mergeCell ref="C70:D70"/>
    <mergeCell ref="C72:D72"/>
    <mergeCell ref="C75:D75"/>
    <mergeCell ref="C78:D78"/>
    <mergeCell ref="C81:D81"/>
    <mergeCell ref="C77:D77"/>
    <mergeCell ref="C79:D79"/>
    <mergeCell ref="C104:D104"/>
    <mergeCell ref="C83:D83"/>
    <mergeCell ref="C64:D64"/>
    <mergeCell ref="C89:D89"/>
    <mergeCell ref="C95:D95"/>
    <mergeCell ref="A137:B137"/>
    <mergeCell ref="A140:B140"/>
    <mergeCell ref="C130:D130"/>
    <mergeCell ref="C132:D132"/>
    <mergeCell ref="A132:B132"/>
    <mergeCell ref="C138:D138"/>
    <mergeCell ref="C74:D74"/>
    <mergeCell ref="A53:B53"/>
    <mergeCell ref="C47:D47"/>
    <mergeCell ref="G58:H58"/>
    <mergeCell ref="K55:L55"/>
    <mergeCell ref="I62:J62"/>
    <mergeCell ref="K62:L62"/>
    <mergeCell ref="K66:L66"/>
    <mergeCell ref="I57:J57"/>
    <mergeCell ref="I47:J47"/>
    <mergeCell ref="K52:L52"/>
    <mergeCell ref="G27:H27"/>
    <mergeCell ref="Q33:R33"/>
    <mergeCell ref="C27:D27"/>
    <mergeCell ref="C32:D32"/>
    <mergeCell ref="C36:D36"/>
    <mergeCell ref="C40:D40"/>
    <mergeCell ref="Q34:R34"/>
    <mergeCell ref="G36:H36"/>
    <mergeCell ref="E27:F27"/>
    <mergeCell ref="C28:D28"/>
    <mergeCell ref="G45:H45"/>
    <mergeCell ref="I32:J32"/>
    <mergeCell ref="M27:N27"/>
    <mergeCell ref="C53:D53"/>
    <mergeCell ref="E53:F53"/>
    <mergeCell ref="C39:D39"/>
    <mergeCell ref="C42:D42"/>
    <mergeCell ref="K28:L28"/>
    <mergeCell ref="E38:F38"/>
    <mergeCell ref="M28:N28"/>
    <mergeCell ref="E57:F57"/>
    <mergeCell ref="K57:L57"/>
    <mergeCell ref="S28:T28"/>
    <mergeCell ref="G31:H31"/>
    <mergeCell ref="G42:H42"/>
    <mergeCell ref="G49:H49"/>
    <mergeCell ref="G38:H38"/>
    <mergeCell ref="I38:J38"/>
    <mergeCell ref="K38:L38"/>
    <mergeCell ref="M38:N38"/>
    <mergeCell ref="O38:P38"/>
    <mergeCell ref="G40:H40"/>
    <mergeCell ref="G47:H47"/>
    <mergeCell ref="I33:J33"/>
    <mergeCell ref="O33:P33"/>
    <mergeCell ref="O40:P40"/>
    <mergeCell ref="Q40:R40"/>
    <mergeCell ref="I46:J46"/>
    <mergeCell ref="O52:P52"/>
    <mergeCell ref="G43:H43"/>
    <mergeCell ref="M36:N36"/>
    <mergeCell ref="O36:P36"/>
    <mergeCell ref="K33:L33"/>
    <mergeCell ref="M33:N33"/>
    <mergeCell ref="G37:H37"/>
    <mergeCell ref="G34:H34"/>
    <mergeCell ref="I34:J34"/>
    <mergeCell ref="K34:L34"/>
    <mergeCell ref="M34:N34"/>
    <mergeCell ref="O34:P34"/>
    <mergeCell ref="G28:H28"/>
    <mergeCell ref="O29:P29"/>
    <mergeCell ref="G33:H33"/>
    <mergeCell ref="K32:L32"/>
    <mergeCell ref="G3:W4"/>
    <mergeCell ref="S6:T6"/>
    <mergeCell ref="M61:N61"/>
    <mergeCell ref="G52:H52"/>
    <mergeCell ref="G35:H35"/>
    <mergeCell ref="M39:N39"/>
    <mergeCell ref="O39:P39"/>
    <mergeCell ref="Q39:R39"/>
    <mergeCell ref="I39:J39"/>
    <mergeCell ref="K39:L39"/>
    <mergeCell ref="G5:Y5"/>
    <mergeCell ref="Q14:R14"/>
    <mergeCell ref="S14:T14"/>
    <mergeCell ref="G13:H13"/>
    <mergeCell ref="G22:H22"/>
    <mergeCell ref="I22:J22"/>
    <mergeCell ref="K22:L22"/>
    <mergeCell ref="M22:N22"/>
    <mergeCell ref="O22:P22"/>
    <mergeCell ref="Q22:R22"/>
    <mergeCell ref="S22:T22"/>
    <mergeCell ref="G21:H21"/>
    <mergeCell ref="I21:J21"/>
    <mergeCell ref="G39:H39"/>
    <mergeCell ref="S33:T33"/>
    <mergeCell ref="G29:H29"/>
    <mergeCell ref="I29:J29"/>
    <mergeCell ref="K29:L29"/>
    <mergeCell ref="Q24:R24"/>
    <mergeCell ref="O27:P27"/>
    <mergeCell ref="Q27:R27"/>
    <mergeCell ref="M54:N54"/>
    <mergeCell ref="G46:H46"/>
    <mergeCell ref="E41:F41"/>
    <mergeCell ref="I49:J49"/>
    <mergeCell ref="K48:L48"/>
    <mergeCell ref="M55:N55"/>
    <mergeCell ref="E42:F42"/>
    <mergeCell ref="E44:F44"/>
    <mergeCell ref="M32:N32"/>
    <mergeCell ref="O32:P32"/>
    <mergeCell ref="K31:L31"/>
    <mergeCell ref="E56:F56"/>
    <mergeCell ref="E34:F34"/>
    <mergeCell ref="E36:F36"/>
    <mergeCell ref="E60:F60"/>
    <mergeCell ref="G48:H48"/>
    <mergeCell ref="I52:J52"/>
    <mergeCell ref="G54:H54"/>
    <mergeCell ref="G57:H57"/>
    <mergeCell ref="G53:H53"/>
    <mergeCell ref="I41:J41"/>
    <mergeCell ref="K41:L41"/>
    <mergeCell ref="E43:F43"/>
    <mergeCell ref="E54:F54"/>
    <mergeCell ref="E59:F59"/>
    <mergeCell ref="M51:N51"/>
    <mergeCell ref="O51:P51"/>
    <mergeCell ref="I53:J53"/>
    <mergeCell ref="G55:H55"/>
    <mergeCell ref="I55:J55"/>
    <mergeCell ref="E58:F58"/>
    <mergeCell ref="I45:J45"/>
    <mergeCell ref="K45:L45"/>
    <mergeCell ref="C35:D35"/>
    <mergeCell ref="C41:D41"/>
    <mergeCell ref="E63:F63"/>
    <mergeCell ref="E61:F61"/>
    <mergeCell ref="E49:F49"/>
    <mergeCell ref="E47:F47"/>
    <mergeCell ref="E52:F52"/>
    <mergeCell ref="C68:D68"/>
    <mergeCell ref="E55:F55"/>
    <mergeCell ref="C61:D61"/>
    <mergeCell ref="C55:D55"/>
    <mergeCell ref="C62:D62"/>
    <mergeCell ref="C56:D56"/>
    <mergeCell ref="E51:F51"/>
    <mergeCell ref="C25:D25"/>
    <mergeCell ref="E25:F25"/>
    <mergeCell ref="E64:F64"/>
    <mergeCell ref="E39:F39"/>
    <mergeCell ref="E40:F40"/>
    <mergeCell ref="C34:D34"/>
    <mergeCell ref="C38:D38"/>
    <mergeCell ref="C60:D60"/>
    <mergeCell ref="C43:D43"/>
    <mergeCell ref="C52:D52"/>
    <mergeCell ref="E29:F29"/>
    <mergeCell ref="E33:F33"/>
    <mergeCell ref="E35:F35"/>
    <mergeCell ref="C65:D65"/>
    <mergeCell ref="E62:F62"/>
    <mergeCell ref="C71:D71"/>
    <mergeCell ref="E70:F70"/>
    <mergeCell ref="C73:D73"/>
    <mergeCell ref="C69:D69"/>
    <mergeCell ref="C100:D100"/>
    <mergeCell ref="E92:F92"/>
    <mergeCell ref="E74:F74"/>
    <mergeCell ref="E84:F84"/>
    <mergeCell ref="C67:D67"/>
    <mergeCell ref="C66:D66"/>
    <mergeCell ref="E66:F66"/>
    <mergeCell ref="C63:D63"/>
    <mergeCell ref="C85:D85"/>
    <mergeCell ref="E77:F77"/>
    <mergeCell ref="E65:F65"/>
    <mergeCell ref="C93:D93"/>
    <mergeCell ref="C98:D98"/>
    <mergeCell ref="E93:F93"/>
    <mergeCell ref="C90:D90"/>
    <mergeCell ref="E83:F83"/>
    <mergeCell ref="C82:D82"/>
    <mergeCell ref="E6:F6"/>
    <mergeCell ref="C9:D9"/>
    <mergeCell ref="C13:D13"/>
    <mergeCell ref="C17:D17"/>
    <mergeCell ref="C21:D21"/>
    <mergeCell ref="C20:D20"/>
    <mergeCell ref="E20:F20"/>
    <mergeCell ref="C7:D7"/>
    <mergeCell ref="E7:F7"/>
    <mergeCell ref="C29:D29"/>
    <mergeCell ref="C33:D33"/>
    <mergeCell ref="C37:D37"/>
    <mergeCell ref="E37:F37"/>
    <mergeCell ref="C23:D23"/>
    <mergeCell ref="E23:F23"/>
    <mergeCell ref="C24:D24"/>
    <mergeCell ref="E24:F24"/>
    <mergeCell ref="C15:D15"/>
    <mergeCell ref="E15:F15"/>
    <mergeCell ref="C16:D16"/>
    <mergeCell ref="C12:D12"/>
    <mergeCell ref="C31:D31"/>
    <mergeCell ref="E31:F31"/>
    <mergeCell ref="E28:F28"/>
    <mergeCell ref="E12:F12"/>
    <mergeCell ref="E9:F9"/>
    <mergeCell ref="E13:F13"/>
    <mergeCell ref="C8:D8"/>
    <mergeCell ref="C19:D19"/>
    <mergeCell ref="E10:F10"/>
    <mergeCell ref="C22:D22"/>
    <mergeCell ref="E22:F22"/>
    <mergeCell ref="I79:J79"/>
    <mergeCell ref="K118:L118"/>
    <mergeCell ref="M118:N118"/>
    <mergeCell ref="Q119:R119"/>
    <mergeCell ref="G120:H120"/>
    <mergeCell ref="S83:T83"/>
    <mergeCell ref="Q82:R82"/>
    <mergeCell ref="S82:T82"/>
    <mergeCell ref="G82:H82"/>
    <mergeCell ref="I83:J83"/>
    <mergeCell ref="K83:L83"/>
    <mergeCell ref="M85:N85"/>
    <mergeCell ref="O85:P85"/>
    <mergeCell ref="O87:P87"/>
    <mergeCell ref="G90:H90"/>
    <mergeCell ref="M88:N88"/>
    <mergeCell ref="O99:P99"/>
    <mergeCell ref="M87:N87"/>
    <mergeCell ref="M94:N94"/>
    <mergeCell ref="Q103:R103"/>
    <mergeCell ref="S103:T103"/>
    <mergeCell ref="Q98:R98"/>
    <mergeCell ref="M92:N92"/>
    <mergeCell ref="O82:P82"/>
    <mergeCell ref="S113:T113"/>
    <mergeCell ref="S117:T117"/>
    <mergeCell ref="Q116:R116"/>
    <mergeCell ref="O107:P107"/>
    <mergeCell ref="M116:N116"/>
    <mergeCell ref="S116:T116"/>
    <mergeCell ref="O114:P114"/>
    <mergeCell ref="Q117:R117"/>
    <mergeCell ref="K120:L120"/>
    <mergeCell ref="I120:J120"/>
    <mergeCell ref="O127:P127"/>
    <mergeCell ref="Q124:R124"/>
    <mergeCell ref="I128:J128"/>
    <mergeCell ref="M128:N128"/>
    <mergeCell ref="O128:P128"/>
    <mergeCell ref="S129:T129"/>
    <mergeCell ref="S79:T79"/>
    <mergeCell ref="O79:P79"/>
    <mergeCell ref="G111:H111"/>
    <mergeCell ref="I111:J111"/>
    <mergeCell ref="K116:L116"/>
    <mergeCell ref="O123:P123"/>
    <mergeCell ref="O104:P104"/>
    <mergeCell ref="S100:T100"/>
    <mergeCell ref="Q100:R100"/>
    <mergeCell ref="M115:N115"/>
    <mergeCell ref="G100:H100"/>
    <mergeCell ref="I100:J100"/>
    <mergeCell ref="O88:P88"/>
    <mergeCell ref="M89:N89"/>
    <mergeCell ref="I90:J90"/>
    <mergeCell ref="K90:L90"/>
    <mergeCell ref="S97:T97"/>
    <mergeCell ref="O89:P89"/>
    <mergeCell ref="S101:T101"/>
    <mergeCell ref="S87:T87"/>
    <mergeCell ref="Q85:R85"/>
    <mergeCell ref="G83:H83"/>
    <mergeCell ref="I84:J84"/>
    <mergeCell ref="S131:T131"/>
    <mergeCell ref="M108:N108"/>
    <mergeCell ref="O108:P108"/>
    <mergeCell ref="Q108:R108"/>
    <mergeCell ref="S108:T108"/>
    <mergeCell ref="Q126:R126"/>
    <mergeCell ref="S124:T124"/>
    <mergeCell ref="S110:T110"/>
    <mergeCell ref="O119:P119"/>
    <mergeCell ref="M120:N120"/>
    <mergeCell ref="S128:T128"/>
    <mergeCell ref="M111:N111"/>
    <mergeCell ref="M112:N112"/>
    <mergeCell ref="Q127:R127"/>
    <mergeCell ref="S127:T127"/>
    <mergeCell ref="S123:T123"/>
    <mergeCell ref="S109:T109"/>
    <mergeCell ref="Q114:R114"/>
    <mergeCell ref="S114:T114"/>
    <mergeCell ref="Q115:R115"/>
    <mergeCell ref="O125:P125"/>
    <mergeCell ref="O115:P115"/>
    <mergeCell ref="M114:N114"/>
    <mergeCell ref="S111:T111"/>
    <mergeCell ref="O112:P112"/>
    <mergeCell ref="Q112:R112"/>
    <mergeCell ref="Q113:R113"/>
    <mergeCell ref="Q109:R109"/>
    <mergeCell ref="Q118:R118"/>
    <mergeCell ref="S118:T118"/>
    <mergeCell ref="S121:T121"/>
    <mergeCell ref="M119:N119"/>
    <mergeCell ref="O132:P132"/>
    <mergeCell ref="S107:T107"/>
    <mergeCell ref="M143:N143"/>
    <mergeCell ref="G148:H148"/>
    <mergeCell ref="I148:J148"/>
    <mergeCell ref="K148:L148"/>
    <mergeCell ref="M148:N148"/>
    <mergeCell ref="O152:P152"/>
    <mergeCell ref="M126:N126"/>
    <mergeCell ref="O126:P126"/>
    <mergeCell ref="O133:P133"/>
    <mergeCell ref="M127:N127"/>
    <mergeCell ref="K128:L128"/>
    <mergeCell ref="G132:H132"/>
    <mergeCell ref="I132:J132"/>
    <mergeCell ref="O137:P137"/>
    <mergeCell ref="O142:P142"/>
    <mergeCell ref="K131:L131"/>
    <mergeCell ref="M131:N131"/>
    <mergeCell ref="O131:P131"/>
    <mergeCell ref="M141:N141"/>
    <mergeCell ref="O141:P141"/>
    <mergeCell ref="G128:H128"/>
    <mergeCell ref="K145:L145"/>
    <mergeCell ref="M145:N145"/>
    <mergeCell ref="O145:P145"/>
    <mergeCell ref="G143:H143"/>
    <mergeCell ref="G144:H144"/>
    <mergeCell ref="G145:H145"/>
    <mergeCell ref="I126:J126"/>
    <mergeCell ref="S134:T134"/>
    <mergeCell ref="S132:T132"/>
    <mergeCell ref="G69:H69"/>
    <mergeCell ref="Q164:R164"/>
    <mergeCell ref="S164:T164"/>
    <mergeCell ref="M162:N162"/>
    <mergeCell ref="O162:P162"/>
    <mergeCell ref="M149:N149"/>
    <mergeCell ref="O149:P149"/>
    <mergeCell ref="Q149:R149"/>
    <mergeCell ref="S149:T149"/>
    <mergeCell ref="K152:L152"/>
    <mergeCell ref="G123:H123"/>
    <mergeCell ref="I123:J123"/>
    <mergeCell ref="Q120:R120"/>
    <mergeCell ref="G124:H124"/>
    <mergeCell ref="Q125:R125"/>
    <mergeCell ref="S125:T125"/>
    <mergeCell ref="M156:N156"/>
    <mergeCell ref="O156:P156"/>
    <mergeCell ref="Q156:R156"/>
    <mergeCell ref="M155:N155"/>
    <mergeCell ref="Q148:R148"/>
    <mergeCell ref="K158:L158"/>
    <mergeCell ref="O148:P148"/>
    <mergeCell ref="Q163:R163"/>
    <mergeCell ref="I154:J154"/>
    <mergeCell ref="K147:L147"/>
    <mergeCell ref="M147:N147"/>
    <mergeCell ref="O147:P147"/>
    <mergeCell ref="Q147:R147"/>
    <mergeCell ref="S147:T147"/>
    <mergeCell ref="G146:H146"/>
    <mergeCell ref="M132:N132"/>
    <mergeCell ref="O74:P74"/>
    <mergeCell ref="Q74:R74"/>
    <mergeCell ref="S74:T74"/>
    <mergeCell ref="S85:T85"/>
    <mergeCell ref="G101:H101"/>
    <mergeCell ref="I101:J101"/>
    <mergeCell ref="K101:L101"/>
    <mergeCell ref="M90:N90"/>
    <mergeCell ref="M91:N91"/>
    <mergeCell ref="K96:L96"/>
    <mergeCell ref="Q94:R94"/>
    <mergeCell ref="S94:T94"/>
    <mergeCell ref="S96:T96"/>
    <mergeCell ref="Q101:R101"/>
    <mergeCell ref="I93:J93"/>
    <mergeCell ref="O91:P91"/>
    <mergeCell ref="S95:T95"/>
    <mergeCell ref="S98:T98"/>
    <mergeCell ref="Q88:R88"/>
    <mergeCell ref="K85:L85"/>
    <mergeCell ref="Q95:R95"/>
    <mergeCell ref="G78:H78"/>
    <mergeCell ref="I78:J78"/>
    <mergeCell ref="K78:L78"/>
    <mergeCell ref="M78:N78"/>
    <mergeCell ref="O78:P78"/>
    <mergeCell ref="K79:L79"/>
    <mergeCell ref="M79:N79"/>
    <mergeCell ref="O81:P81"/>
    <mergeCell ref="Q81:R81"/>
    <mergeCell ref="S81:T81"/>
    <mergeCell ref="G79:H79"/>
    <mergeCell ref="O73:P73"/>
    <mergeCell ref="G71:H71"/>
    <mergeCell ref="I71:J71"/>
    <mergeCell ref="K71:L71"/>
    <mergeCell ref="M71:N71"/>
    <mergeCell ref="O71:P71"/>
    <mergeCell ref="O69:P69"/>
    <mergeCell ref="O63:P63"/>
    <mergeCell ref="K70:L70"/>
    <mergeCell ref="M70:N70"/>
    <mergeCell ref="O59:P59"/>
    <mergeCell ref="Q59:R59"/>
    <mergeCell ref="Q65:R65"/>
    <mergeCell ref="S65:T65"/>
    <mergeCell ref="G56:H56"/>
    <mergeCell ref="K65:L65"/>
    <mergeCell ref="M65:N65"/>
    <mergeCell ref="K64:L64"/>
    <mergeCell ref="M64:N64"/>
    <mergeCell ref="O64:P64"/>
    <mergeCell ref="Q73:R73"/>
    <mergeCell ref="S73:T73"/>
    <mergeCell ref="Q67:R67"/>
    <mergeCell ref="I72:J72"/>
    <mergeCell ref="Q71:R71"/>
    <mergeCell ref="G73:H73"/>
    <mergeCell ref="Q64:R64"/>
    <mergeCell ref="S64:T64"/>
    <mergeCell ref="G60:H60"/>
    <mergeCell ref="I60:J60"/>
    <mergeCell ref="K60:L60"/>
    <mergeCell ref="M60:N60"/>
    <mergeCell ref="Q70:R70"/>
    <mergeCell ref="M63:N63"/>
    <mergeCell ref="S68:T68"/>
    <mergeCell ref="S59:T59"/>
    <mergeCell ref="I54:J54"/>
    <mergeCell ref="Q61:R61"/>
    <mergeCell ref="S70:T70"/>
    <mergeCell ref="Q54:R54"/>
    <mergeCell ref="O57:P57"/>
    <mergeCell ref="I56:J56"/>
    <mergeCell ref="K56:L56"/>
    <mergeCell ref="M56:N56"/>
    <mergeCell ref="O56:P56"/>
    <mergeCell ref="Q56:R56"/>
    <mergeCell ref="S56:T56"/>
    <mergeCell ref="K54:L54"/>
    <mergeCell ref="O68:P68"/>
    <mergeCell ref="O54:P54"/>
    <mergeCell ref="S61:T61"/>
    <mergeCell ref="Q62:R62"/>
    <mergeCell ref="O61:P61"/>
    <mergeCell ref="S67:T67"/>
    <mergeCell ref="Q68:R68"/>
    <mergeCell ref="S62:T62"/>
    <mergeCell ref="S58:T58"/>
    <mergeCell ref="I65:J65"/>
    <mergeCell ref="K58:L58"/>
    <mergeCell ref="I58:J58"/>
    <mergeCell ref="Q57:R57"/>
    <mergeCell ref="S57:T57"/>
    <mergeCell ref="S60:T60"/>
    <mergeCell ref="I67:J67"/>
    <mergeCell ref="K42:L42"/>
    <mergeCell ref="O55:P55"/>
    <mergeCell ref="Q58:R58"/>
    <mergeCell ref="S55:T55"/>
    <mergeCell ref="M57:N57"/>
    <mergeCell ref="Q51:R51"/>
    <mergeCell ref="Q52:R52"/>
    <mergeCell ref="S53:T53"/>
    <mergeCell ref="S52:T52"/>
    <mergeCell ref="Q66:R66"/>
    <mergeCell ref="S66:T66"/>
    <mergeCell ref="S54:T54"/>
    <mergeCell ref="Q69:R69"/>
    <mergeCell ref="S69:T69"/>
    <mergeCell ref="Q49:R49"/>
    <mergeCell ref="S51:T51"/>
    <mergeCell ref="K50:L50"/>
    <mergeCell ref="M50:N50"/>
    <mergeCell ref="O50:P50"/>
    <mergeCell ref="Q50:R50"/>
    <mergeCell ref="S50:T50"/>
    <mergeCell ref="K46:L46"/>
    <mergeCell ref="K44:L44"/>
    <mergeCell ref="K53:L53"/>
    <mergeCell ref="M53:N53"/>
    <mergeCell ref="O53:P53"/>
    <mergeCell ref="Q55:R55"/>
    <mergeCell ref="O60:P60"/>
    <mergeCell ref="Q60:R60"/>
    <mergeCell ref="K67:L67"/>
    <mergeCell ref="K51:L51"/>
    <mergeCell ref="M59:N59"/>
    <mergeCell ref="S35:T35"/>
    <mergeCell ref="K47:L47"/>
    <mergeCell ref="O41:P41"/>
    <mergeCell ref="Q41:R41"/>
    <mergeCell ref="S41:T41"/>
    <mergeCell ref="I43:J43"/>
    <mergeCell ref="K43:L43"/>
    <mergeCell ref="M43:N43"/>
    <mergeCell ref="O43:P43"/>
    <mergeCell ref="Q43:R43"/>
    <mergeCell ref="S43:T43"/>
    <mergeCell ref="S40:T40"/>
    <mergeCell ref="S42:T42"/>
    <mergeCell ref="S44:T44"/>
    <mergeCell ref="S39:T39"/>
    <mergeCell ref="S37:W37"/>
    <mergeCell ref="Q47:R47"/>
    <mergeCell ref="I35:J35"/>
    <mergeCell ref="K35:L35"/>
    <mergeCell ref="M35:N35"/>
    <mergeCell ref="O35:P35"/>
    <mergeCell ref="Q35:R35"/>
    <mergeCell ref="K36:L36"/>
    <mergeCell ref="S47:T47"/>
    <mergeCell ref="M46:N46"/>
    <mergeCell ref="O46:P46"/>
    <mergeCell ref="Q46:R46"/>
    <mergeCell ref="M44:N44"/>
    <mergeCell ref="M40:N40"/>
    <mergeCell ref="M47:N47"/>
    <mergeCell ref="O47:P47"/>
    <mergeCell ref="I36:J36"/>
    <mergeCell ref="S34:T34"/>
    <mergeCell ref="M29:N29"/>
    <mergeCell ref="O21:P21"/>
    <mergeCell ref="S31:T31"/>
    <mergeCell ref="S24:T24"/>
    <mergeCell ref="E8:F8"/>
    <mergeCell ref="G8:H8"/>
    <mergeCell ref="I8:J8"/>
    <mergeCell ref="Q29:R29"/>
    <mergeCell ref="K27:L27"/>
    <mergeCell ref="I24:J24"/>
    <mergeCell ref="I31:J31"/>
    <mergeCell ref="S27:T27"/>
    <mergeCell ref="S29:T29"/>
    <mergeCell ref="I27:J27"/>
    <mergeCell ref="K23:L23"/>
    <mergeCell ref="E14:F14"/>
    <mergeCell ref="G14:H14"/>
    <mergeCell ref="I14:J14"/>
    <mergeCell ref="K14:L14"/>
    <mergeCell ref="M14:N14"/>
    <mergeCell ref="O14:P14"/>
    <mergeCell ref="I28:J28"/>
    <mergeCell ref="G20:H20"/>
    <mergeCell ref="E19:F19"/>
    <mergeCell ref="E21:F21"/>
    <mergeCell ref="O28:P28"/>
    <mergeCell ref="Q28:R28"/>
    <mergeCell ref="I20:J20"/>
    <mergeCell ref="K20:L20"/>
    <mergeCell ref="G19:H19"/>
    <mergeCell ref="Q21:R21"/>
    <mergeCell ref="C10:D10"/>
    <mergeCell ref="G10:H10"/>
    <mergeCell ref="A14:B14"/>
    <mergeCell ref="M8:N8"/>
    <mergeCell ref="I16:J16"/>
    <mergeCell ref="K16:L16"/>
    <mergeCell ref="M16:N16"/>
    <mergeCell ref="K15:L15"/>
    <mergeCell ref="S15:T15"/>
    <mergeCell ref="Q11:R11"/>
    <mergeCell ref="S11:T11"/>
    <mergeCell ref="M12:N12"/>
    <mergeCell ref="O12:P12"/>
    <mergeCell ref="Q12:R12"/>
    <mergeCell ref="S12:T12"/>
    <mergeCell ref="G11:H11"/>
    <mergeCell ref="I11:J11"/>
    <mergeCell ref="K11:L11"/>
    <mergeCell ref="G12:H12"/>
    <mergeCell ref="I12:J12"/>
    <mergeCell ref="K12:L12"/>
    <mergeCell ref="A8:B8"/>
    <mergeCell ref="M15:N15"/>
    <mergeCell ref="O15:P15"/>
    <mergeCell ref="G9:H9"/>
    <mergeCell ref="I9:J9"/>
    <mergeCell ref="K9:L9"/>
    <mergeCell ref="M9:N9"/>
    <mergeCell ref="O9:P9"/>
    <mergeCell ref="C14:D14"/>
    <mergeCell ref="C11:D11"/>
    <mergeCell ref="E11:F11"/>
    <mergeCell ref="G6:H6"/>
    <mergeCell ref="I6:J6"/>
    <mergeCell ref="O8:P8"/>
    <mergeCell ref="S9:T9"/>
    <mergeCell ref="I13:J13"/>
    <mergeCell ref="K13:L13"/>
    <mergeCell ref="M13:N13"/>
    <mergeCell ref="O6:P6"/>
    <mergeCell ref="Q6:R6"/>
    <mergeCell ref="K6:L6"/>
    <mergeCell ref="M6:N6"/>
    <mergeCell ref="S13:T13"/>
    <mergeCell ref="S7:T7"/>
    <mergeCell ref="Q9:R9"/>
    <mergeCell ref="Q8:R8"/>
    <mergeCell ref="S8:T8"/>
    <mergeCell ref="Q13:R13"/>
    <mergeCell ref="Q7:R7"/>
    <mergeCell ref="M11:N11"/>
    <mergeCell ref="O11:P11"/>
    <mergeCell ref="O13:P13"/>
    <mergeCell ref="K8:L8"/>
    <mergeCell ref="I10:J10"/>
    <mergeCell ref="K10:L10"/>
    <mergeCell ref="M10:N10"/>
    <mergeCell ref="O10:P10"/>
    <mergeCell ref="Q10:R10"/>
    <mergeCell ref="S10:T10"/>
    <mergeCell ref="O7:P7"/>
    <mergeCell ref="K7:L7"/>
    <mergeCell ref="M7:N7"/>
    <mergeCell ref="C6:D6"/>
    <mergeCell ref="A54:B54"/>
    <mergeCell ref="A52:B52"/>
    <mergeCell ref="A41:B41"/>
    <mergeCell ref="A39:B39"/>
    <mergeCell ref="A40:B40"/>
    <mergeCell ref="A6:B6"/>
    <mergeCell ref="A9:B9"/>
    <mergeCell ref="A13:B13"/>
    <mergeCell ref="A17:B17"/>
    <mergeCell ref="A21:B21"/>
    <mergeCell ref="A20:B20"/>
    <mergeCell ref="A7:B7"/>
    <mergeCell ref="A12:B12"/>
    <mergeCell ref="A23:B23"/>
    <mergeCell ref="A24:B24"/>
    <mergeCell ref="A15:B15"/>
    <mergeCell ref="A16:B16"/>
    <mergeCell ref="A11:B11"/>
    <mergeCell ref="A19:B19"/>
    <mergeCell ref="A27:B27"/>
    <mergeCell ref="A28:B28"/>
    <mergeCell ref="A31:B31"/>
    <mergeCell ref="A34:B34"/>
    <mergeCell ref="A32:B32"/>
    <mergeCell ref="A29:B29"/>
    <mergeCell ref="A33:B33"/>
    <mergeCell ref="A18:B18"/>
    <mergeCell ref="A25:B25"/>
    <mergeCell ref="A36:B36"/>
    <mergeCell ref="A22:B22"/>
    <mergeCell ref="A10:B10"/>
    <mergeCell ref="A68:B68"/>
    <mergeCell ref="A69:B69"/>
    <mergeCell ref="A66:B66"/>
    <mergeCell ref="A80:B80"/>
    <mergeCell ref="A72:B72"/>
    <mergeCell ref="A75:B75"/>
    <mergeCell ref="A78:B78"/>
    <mergeCell ref="A81:B81"/>
    <mergeCell ref="A77:B77"/>
    <mergeCell ref="A79:B79"/>
    <mergeCell ref="A59:B59"/>
    <mergeCell ref="A63:B63"/>
    <mergeCell ref="A65:B65"/>
    <mergeCell ref="A67:B67"/>
    <mergeCell ref="A71:B71"/>
    <mergeCell ref="A60:B60"/>
    <mergeCell ref="A73:B73"/>
    <mergeCell ref="C48:D48"/>
    <mergeCell ref="C51:D51"/>
    <mergeCell ref="C49:D49"/>
    <mergeCell ref="E48:F48"/>
    <mergeCell ref="Q78:R78"/>
    <mergeCell ref="S78:T78"/>
    <mergeCell ref="G80:H80"/>
    <mergeCell ref="X1:Y4"/>
    <mergeCell ref="A126:B126"/>
    <mergeCell ref="A163:B163"/>
    <mergeCell ref="A143:B143"/>
    <mergeCell ref="A144:B144"/>
    <mergeCell ref="A145:B145"/>
    <mergeCell ref="A149:B149"/>
    <mergeCell ref="A151:B151"/>
    <mergeCell ref="A156:B156"/>
    <mergeCell ref="A128:B128"/>
    <mergeCell ref="A131:B131"/>
    <mergeCell ref="A135:B135"/>
    <mergeCell ref="A139:B139"/>
    <mergeCell ref="A142:B142"/>
    <mergeCell ref="A136:B136"/>
    <mergeCell ref="A138:B138"/>
    <mergeCell ref="A130:B130"/>
    <mergeCell ref="A134:B134"/>
    <mergeCell ref="A109:B109"/>
    <mergeCell ref="A113:B113"/>
    <mergeCell ref="A117:B117"/>
    <mergeCell ref="A121:B121"/>
    <mergeCell ref="A123:B123"/>
    <mergeCell ref="A124:B124"/>
    <mergeCell ref="A82:B82"/>
    <mergeCell ref="Q63:R63"/>
    <mergeCell ref="K99:L99"/>
    <mergeCell ref="M99:N99"/>
    <mergeCell ref="E100:F100"/>
    <mergeCell ref="G84:H84"/>
    <mergeCell ref="O97:P97"/>
    <mergeCell ref="G87:H87"/>
    <mergeCell ref="M101:N101"/>
    <mergeCell ref="O101:P101"/>
    <mergeCell ref="Q91:R91"/>
    <mergeCell ref="Q93:R93"/>
    <mergeCell ref="S92:T92"/>
    <mergeCell ref="S93:T93"/>
    <mergeCell ref="O75:P75"/>
    <mergeCell ref="Q75:R75"/>
    <mergeCell ref="S84:T84"/>
    <mergeCell ref="Q90:R90"/>
    <mergeCell ref="Q77:R77"/>
    <mergeCell ref="M76:N76"/>
    <mergeCell ref="O76:P76"/>
    <mergeCell ref="Q76:R76"/>
    <mergeCell ref="S76:T76"/>
    <mergeCell ref="O80:P80"/>
    <mergeCell ref="Q80:R80"/>
    <mergeCell ref="S80:T80"/>
    <mergeCell ref="G81:H81"/>
    <mergeCell ref="I81:J81"/>
    <mergeCell ref="K81:L81"/>
    <mergeCell ref="K80:L80"/>
    <mergeCell ref="S63:T63"/>
    <mergeCell ref="S71:T71"/>
    <mergeCell ref="O70:P70"/>
    <mergeCell ref="M81:N81"/>
    <mergeCell ref="S99:T99"/>
    <mergeCell ref="Q99:R99"/>
    <mergeCell ref="S75:T75"/>
    <mergeCell ref="K75:L75"/>
    <mergeCell ref="Q107:R107"/>
    <mergeCell ref="E109:F109"/>
    <mergeCell ref="Q110:R110"/>
    <mergeCell ref="A85:B85"/>
    <mergeCell ref="G85:H85"/>
    <mergeCell ref="K93:L93"/>
    <mergeCell ref="M93:N93"/>
    <mergeCell ref="O93:P93"/>
    <mergeCell ref="A84:B84"/>
    <mergeCell ref="I87:J87"/>
    <mergeCell ref="K87:L87"/>
    <mergeCell ref="M96:N96"/>
    <mergeCell ref="A106:B106"/>
    <mergeCell ref="C106:D106"/>
    <mergeCell ref="A105:B105"/>
    <mergeCell ref="C103:D103"/>
    <mergeCell ref="G103:H103"/>
    <mergeCell ref="I103:J103"/>
    <mergeCell ref="K103:L103"/>
    <mergeCell ref="G95:H95"/>
    <mergeCell ref="I95:J95"/>
    <mergeCell ref="C97:D97"/>
    <mergeCell ref="A98:B98"/>
    <mergeCell ref="G96:H96"/>
    <mergeCell ref="E104:F104"/>
    <mergeCell ref="G104:H104"/>
    <mergeCell ref="K106:L106"/>
    <mergeCell ref="C84:D84"/>
    <mergeCell ref="K91:L91"/>
    <mergeCell ref="I102:J102"/>
    <mergeCell ref="G99:H99"/>
    <mergeCell ref="O96:P96"/>
    <mergeCell ref="K108:L108"/>
    <mergeCell ref="M104:N104"/>
    <mergeCell ref="G106:H106"/>
    <mergeCell ref="I106:J106"/>
    <mergeCell ref="G109:H109"/>
    <mergeCell ref="I109:J109"/>
    <mergeCell ref="I110:J110"/>
    <mergeCell ref="M102:N102"/>
    <mergeCell ref="O113:P113"/>
    <mergeCell ref="M109:N109"/>
    <mergeCell ref="O109:P109"/>
    <mergeCell ref="A93:B93"/>
    <mergeCell ref="I113:J113"/>
    <mergeCell ref="K113:L113"/>
    <mergeCell ref="M113:N113"/>
    <mergeCell ref="K111:L111"/>
    <mergeCell ref="C111:D111"/>
    <mergeCell ref="E111:F111"/>
    <mergeCell ref="A110:B110"/>
    <mergeCell ref="C110:D110"/>
    <mergeCell ref="E110:F110"/>
    <mergeCell ref="C96:D96"/>
    <mergeCell ref="C99:D99"/>
    <mergeCell ref="C102:D102"/>
    <mergeCell ref="E97:F97"/>
    <mergeCell ref="Q104:R104"/>
    <mergeCell ref="A96:B96"/>
    <mergeCell ref="A99:B99"/>
    <mergeCell ref="A102:B102"/>
    <mergeCell ref="A100:B100"/>
    <mergeCell ref="A94:B94"/>
    <mergeCell ref="A101:B101"/>
    <mergeCell ref="K102:L102"/>
    <mergeCell ref="M103:N103"/>
    <mergeCell ref="O103:P103"/>
    <mergeCell ref="C101:D101"/>
    <mergeCell ref="E101:F101"/>
    <mergeCell ref="O94:P94"/>
    <mergeCell ref="E102:F102"/>
    <mergeCell ref="O110:P110"/>
    <mergeCell ref="A89:B89"/>
    <mergeCell ref="E98:F98"/>
    <mergeCell ref="A91:B91"/>
    <mergeCell ref="C91:D91"/>
    <mergeCell ref="A95:B95"/>
    <mergeCell ref="G105:H105"/>
    <mergeCell ref="E105:F105"/>
    <mergeCell ref="E108:F108"/>
    <mergeCell ref="C109:D109"/>
    <mergeCell ref="A107:B107"/>
    <mergeCell ref="K110:L110"/>
    <mergeCell ref="E107:F107"/>
    <mergeCell ref="G107:H107"/>
    <mergeCell ref="C107:D107"/>
    <mergeCell ref="I108:J108"/>
    <mergeCell ref="A97:B97"/>
    <mergeCell ref="I104:J104"/>
    <mergeCell ref="M110:N110"/>
    <mergeCell ref="I105:J105"/>
    <mergeCell ref="K105:L105"/>
    <mergeCell ref="C105:D105"/>
    <mergeCell ref="O100:P100"/>
    <mergeCell ref="G89:H89"/>
    <mergeCell ref="I89:J89"/>
    <mergeCell ref="K89:L89"/>
    <mergeCell ref="A92:B92"/>
    <mergeCell ref="A103:B103"/>
    <mergeCell ref="O102:P102"/>
    <mergeCell ref="G92:H92"/>
    <mergeCell ref="G93:H93"/>
    <mergeCell ref="O92:P92"/>
    <mergeCell ref="C92:D92"/>
    <mergeCell ref="C94:D94"/>
    <mergeCell ref="M98:N98"/>
    <mergeCell ref="O98:P98"/>
    <mergeCell ref="I97:J97"/>
    <mergeCell ref="M97:N97"/>
    <mergeCell ref="E106:F106"/>
    <mergeCell ref="K109:L109"/>
    <mergeCell ref="A108:B108"/>
    <mergeCell ref="C108:D108"/>
    <mergeCell ref="K104:L104"/>
    <mergeCell ref="G110:H110"/>
    <mergeCell ref="I107:J107"/>
    <mergeCell ref="K107:L107"/>
    <mergeCell ref="G112:H112"/>
    <mergeCell ref="I112:J112"/>
    <mergeCell ref="A127:B127"/>
    <mergeCell ref="C127:D127"/>
    <mergeCell ref="E127:F127"/>
    <mergeCell ref="A114:B114"/>
    <mergeCell ref="C114:D114"/>
    <mergeCell ref="E114:F114"/>
    <mergeCell ref="G114:H114"/>
    <mergeCell ref="A120:B120"/>
    <mergeCell ref="A119:B119"/>
    <mergeCell ref="A115:B115"/>
    <mergeCell ref="C116:D116"/>
    <mergeCell ref="C119:D119"/>
    <mergeCell ref="G127:H127"/>
    <mergeCell ref="I127:J127"/>
    <mergeCell ref="C115:D115"/>
    <mergeCell ref="E115:F115"/>
    <mergeCell ref="A112:B112"/>
    <mergeCell ref="C112:D112"/>
    <mergeCell ref="K114:L114"/>
    <mergeCell ref="A111:B111"/>
    <mergeCell ref="K112:L112"/>
    <mergeCell ref="E113:F113"/>
    <mergeCell ref="A116:B116"/>
    <mergeCell ref="K127:L127"/>
    <mergeCell ref="I124:J124"/>
    <mergeCell ref="K123:L123"/>
    <mergeCell ref="G121:H121"/>
    <mergeCell ref="A118:B118"/>
    <mergeCell ref="C121:D121"/>
    <mergeCell ref="C126:D126"/>
    <mergeCell ref="C120:D120"/>
    <mergeCell ref="A125:B125"/>
    <mergeCell ref="C125:D125"/>
    <mergeCell ref="E125:F125"/>
    <mergeCell ref="G125:H125"/>
    <mergeCell ref="I125:J125"/>
    <mergeCell ref="G116:H116"/>
    <mergeCell ref="I116:J116"/>
    <mergeCell ref="G115:H115"/>
    <mergeCell ref="I115:J115"/>
    <mergeCell ref="E124:F124"/>
    <mergeCell ref="E126:F126"/>
    <mergeCell ref="E128:F128"/>
    <mergeCell ref="C123:D123"/>
    <mergeCell ref="G118:H118"/>
    <mergeCell ref="G126:H126"/>
    <mergeCell ref="G119:H119"/>
    <mergeCell ref="I119:J119"/>
    <mergeCell ref="G117:H117"/>
    <mergeCell ref="I117:J117"/>
    <mergeCell ref="G163:H163"/>
    <mergeCell ref="I163:J163"/>
    <mergeCell ref="K163:L163"/>
    <mergeCell ref="M163:N163"/>
    <mergeCell ref="O163:P163"/>
    <mergeCell ref="I162:J162"/>
    <mergeCell ref="G162:H162"/>
    <mergeCell ref="Q162:R162"/>
    <mergeCell ref="C147:D147"/>
    <mergeCell ref="E147:F147"/>
    <mergeCell ref="G147:H147"/>
    <mergeCell ref="I147:J147"/>
    <mergeCell ref="Q146:R146"/>
    <mergeCell ref="S146:T146"/>
    <mergeCell ref="C145:D145"/>
    <mergeCell ref="C149:D149"/>
    <mergeCell ref="I146:J146"/>
    <mergeCell ref="Q161:R161"/>
    <mergeCell ref="S161:T161"/>
    <mergeCell ref="S159:T159"/>
    <mergeCell ref="Q160:R160"/>
    <mergeCell ref="S160:T160"/>
    <mergeCell ref="M161:N161"/>
    <mergeCell ref="O161:P161"/>
    <mergeCell ref="I151:J151"/>
    <mergeCell ref="G150:H150"/>
    <mergeCell ref="G151:H151"/>
    <mergeCell ref="S152:T152"/>
    <mergeCell ref="E151:F151"/>
    <mergeCell ref="C150:D150"/>
    <mergeCell ref="C146:D146"/>
    <mergeCell ref="E146:F146"/>
    <mergeCell ref="M144:N144"/>
    <mergeCell ref="M135:N135"/>
    <mergeCell ref="C139:D139"/>
    <mergeCell ref="C124:D124"/>
    <mergeCell ref="C133:D133"/>
    <mergeCell ref="C113:D113"/>
    <mergeCell ref="C117:D117"/>
    <mergeCell ref="E112:F112"/>
    <mergeCell ref="E119:F119"/>
    <mergeCell ref="E116:F116"/>
    <mergeCell ref="I118:J118"/>
    <mergeCell ref="C118:D118"/>
    <mergeCell ref="E118:F118"/>
    <mergeCell ref="E129:F129"/>
    <mergeCell ref="G129:H129"/>
    <mergeCell ref="I129:J129"/>
    <mergeCell ref="K129:L129"/>
    <mergeCell ref="K125:L125"/>
    <mergeCell ref="M125:N125"/>
    <mergeCell ref="M129:N129"/>
    <mergeCell ref="K117:L117"/>
    <mergeCell ref="C129:D129"/>
    <mergeCell ref="I114:J114"/>
    <mergeCell ref="K130:L130"/>
    <mergeCell ref="K119:L119"/>
    <mergeCell ref="I135:J135"/>
    <mergeCell ref="I134:J134"/>
    <mergeCell ref="G137:H137"/>
    <mergeCell ref="E135:F135"/>
    <mergeCell ref="C136:D136"/>
    <mergeCell ref="C134:D134"/>
    <mergeCell ref="K135:L135"/>
    <mergeCell ref="A55:B55"/>
    <mergeCell ref="E133:F133"/>
    <mergeCell ref="S90:T90"/>
    <mergeCell ref="Q84:R84"/>
    <mergeCell ref="Q105:R105"/>
    <mergeCell ref="A104:B104"/>
    <mergeCell ref="A90:B90"/>
    <mergeCell ref="S91:T91"/>
    <mergeCell ref="Q89:R89"/>
    <mergeCell ref="S89:T89"/>
    <mergeCell ref="O90:P90"/>
    <mergeCell ref="I92:J92"/>
    <mergeCell ref="K92:L92"/>
    <mergeCell ref="Q92:R92"/>
    <mergeCell ref="A122:B122"/>
    <mergeCell ref="C122:D122"/>
    <mergeCell ref="E122:F122"/>
    <mergeCell ref="G122:H122"/>
    <mergeCell ref="I122:J122"/>
    <mergeCell ref="K122:L122"/>
    <mergeCell ref="M122:N122"/>
    <mergeCell ref="O122:P122"/>
    <mergeCell ref="Q122:R122"/>
    <mergeCell ref="S122:T122"/>
    <mergeCell ref="M106:N106"/>
    <mergeCell ref="O106:P106"/>
    <mergeCell ref="A56:B56"/>
    <mergeCell ref="Q132:R132"/>
    <mergeCell ref="Q123:R123"/>
    <mergeCell ref="O129:P129"/>
    <mergeCell ref="Q129:R129"/>
    <mergeCell ref="A129:B129"/>
    <mergeCell ref="M52:N52"/>
    <mergeCell ref="Q53:R53"/>
    <mergeCell ref="A49:B49"/>
    <mergeCell ref="A47:B47"/>
    <mergeCell ref="S49:T49"/>
    <mergeCell ref="S45:T45"/>
    <mergeCell ref="I40:J40"/>
    <mergeCell ref="Q38:R38"/>
    <mergeCell ref="S38:T38"/>
    <mergeCell ref="I37:J37"/>
    <mergeCell ref="Q44:R44"/>
    <mergeCell ref="O44:P44"/>
    <mergeCell ref="S46:T46"/>
    <mergeCell ref="M45:N45"/>
    <mergeCell ref="O45:P45"/>
    <mergeCell ref="Q45:R45"/>
    <mergeCell ref="M37:N37"/>
    <mergeCell ref="O48:P48"/>
    <mergeCell ref="Q48:R48"/>
    <mergeCell ref="S48:T48"/>
    <mergeCell ref="I48:J48"/>
    <mergeCell ref="M48:N48"/>
    <mergeCell ref="K37:L37"/>
    <mergeCell ref="G44:H44"/>
    <mergeCell ref="I44:J44"/>
    <mergeCell ref="I42:J42"/>
    <mergeCell ref="C44:D44"/>
    <mergeCell ref="C46:D46"/>
    <mergeCell ref="E46:F46"/>
    <mergeCell ref="O49:P49"/>
    <mergeCell ref="M49:N49"/>
    <mergeCell ref="A43:B43"/>
    <mergeCell ref="G51:H51"/>
    <mergeCell ref="I51:J51"/>
    <mergeCell ref="A30:B30"/>
    <mergeCell ref="C30:D30"/>
    <mergeCell ref="E30:F30"/>
    <mergeCell ref="G30:H30"/>
    <mergeCell ref="I30:J30"/>
    <mergeCell ref="K30:L30"/>
    <mergeCell ref="M30:N30"/>
    <mergeCell ref="O30:P30"/>
    <mergeCell ref="Q30:R30"/>
    <mergeCell ref="S30:T30"/>
    <mergeCell ref="Q32:R32"/>
    <mergeCell ref="Q31:R31"/>
    <mergeCell ref="S32:T32"/>
    <mergeCell ref="E32:F32"/>
    <mergeCell ref="G32:H32"/>
    <mergeCell ref="A42:B42"/>
    <mergeCell ref="M31:N31"/>
    <mergeCell ref="O31:P31"/>
    <mergeCell ref="A35:B35"/>
    <mergeCell ref="A38:B38"/>
    <mergeCell ref="M42:N42"/>
    <mergeCell ref="G41:H41"/>
    <mergeCell ref="O42:P42"/>
    <mergeCell ref="Q42:R42"/>
    <mergeCell ref="O37:P37"/>
    <mergeCell ref="A50:B50"/>
    <mergeCell ref="C50:D50"/>
    <mergeCell ref="E50:F50"/>
    <mergeCell ref="G50:H50"/>
    <mergeCell ref="I50:J50"/>
  </mergeCells>
  <conditionalFormatting sqref="W9 W163">
    <cfRule type="cellIs" dxfId="223" priority="253" stopIfTrue="1" operator="lessThan">
      <formula>0</formula>
    </cfRule>
    <cfRule type="cellIs" dxfId="222" priority="254" stopIfTrue="1" operator="greaterThanOrEqual">
      <formula>0</formula>
    </cfRule>
  </conditionalFormatting>
  <conditionalFormatting sqref="W13 W75 W139 W135 W142:W145 W131 W21 W33 W29 W63 W59 W17 W121 W48 W54 W40 W51 W117 W113 W156 W151 W93 W96 W99 W102 W78 W81 W87 W90 W109 W105 W84 W149 W67 W128 W126 W46 W42 W44 W123:W124 W65">
    <cfRule type="cellIs" dxfId="221" priority="243" stopIfTrue="1" operator="lessThan">
      <formula>0</formula>
    </cfRule>
    <cfRule type="cellIs" dxfId="220" priority="244" stopIfTrue="1" operator="greaterThanOrEqual">
      <formula>0</formula>
    </cfRule>
  </conditionalFormatting>
  <conditionalFormatting sqref="W70">
    <cfRule type="cellIs" dxfId="219" priority="241" stopIfTrue="1" operator="lessThan">
      <formula>0</formula>
    </cfRule>
    <cfRule type="cellIs" dxfId="218" priority="242" stopIfTrue="1" operator="greaterThanOrEqual">
      <formula>0</formula>
    </cfRule>
  </conditionalFormatting>
  <conditionalFormatting sqref="W72">
    <cfRule type="cellIs" dxfId="217" priority="239" stopIfTrue="1" operator="lessThan">
      <formula>0</formula>
    </cfRule>
    <cfRule type="cellIs" dxfId="216" priority="240" stopIfTrue="1" operator="greaterThanOrEqual">
      <formula>0</formula>
    </cfRule>
  </conditionalFormatting>
  <conditionalFormatting sqref="W136">
    <cfRule type="cellIs" dxfId="215" priority="237" stopIfTrue="1" operator="lessThan">
      <formula>0</formula>
    </cfRule>
    <cfRule type="cellIs" dxfId="214" priority="238" stopIfTrue="1" operator="greaterThanOrEqual">
      <formula>0</formula>
    </cfRule>
  </conditionalFormatting>
  <conditionalFormatting sqref="W134">
    <cfRule type="cellIs" dxfId="213" priority="235" stopIfTrue="1" operator="lessThan">
      <formula>0</formula>
    </cfRule>
    <cfRule type="cellIs" dxfId="212" priority="236" stopIfTrue="1" operator="greaterThanOrEqual">
      <formula>0</formula>
    </cfRule>
  </conditionalFormatting>
  <conditionalFormatting sqref="W138">
    <cfRule type="cellIs" dxfId="211" priority="233" stopIfTrue="1" operator="lessThan">
      <formula>0</formula>
    </cfRule>
    <cfRule type="cellIs" dxfId="210" priority="234" stopIfTrue="1" operator="greaterThanOrEqual">
      <formula>0</formula>
    </cfRule>
  </conditionalFormatting>
  <conditionalFormatting sqref="W140">
    <cfRule type="cellIs" dxfId="209" priority="231" stopIfTrue="1" operator="lessThan">
      <formula>0</formula>
    </cfRule>
    <cfRule type="cellIs" dxfId="208" priority="232" stopIfTrue="1" operator="greaterThanOrEqual">
      <formula>0</formula>
    </cfRule>
  </conditionalFormatting>
  <conditionalFormatting sqref="W130">
    <cfRule type="cellIs" dxfId="207" priority="229" stopIfTrue="1" operator="lessThan">
      <formula>0</formula>
    </cfRule>
    <cfRule type="cellIs" dxfId="206" priority="230" stopIfTrue="1" operator="greaterThanOrEqual">
      <formula>0</formula>
    </cfRule>
  </conditionalFormatting>
  <conditionalFormatting sqref="W132">
    <cfRule type="cellIs" dxfId="205" priority="227" stopIfTrue="1" operator="lessThan">
      <formula>0</formula>
    </cfRule>
    <cfRule type="cellIs" dxfId="204" priority="228" stopIfTrue="1" operator="greaterThanOrEqual">
      <formula>0</formula>
    </cfRule>
  </conditionalFormatting>
  <conditionalFormatting sqref="W20">
    <cfRule type="cellIs" dxfId="203" priority="225" stopIfTrue="1" operator="lessThan">
      <formula>0</formula>
    </cfRule>
    <cfRule type="cellIs" dxfId="202" priority="226" stopIfTrue="1" operator="greaterThanOrEqual">
      <formula>0</formula>
    </cfRule>
  </conditionalFormatting>
  <conditionalFormatting sqref="W19">
    <cfRule type="cellIs" dxfId="201" priority="223" stopIfTrue="1" operator="lessThan">
      <formula>0</formula>
    </cfRule>
    <cfRule type="cellIs" dxfId="200" priority="224" stopIfTrue="1" operator="greaterThanOrEqual">
      <formula>0</formula>
    </cfRule>
  </conditionalFormatting>
  <conditionalFormatting sqref="W31:W32">
    <cfRule type="cellIs" dxfId="199" priority="221" stopIfTrue="1" operator="lessThan">
      <formula>0</formula>
    </cfRule>
    <cfRule type="cellIs" dxfId="198" priority="222" stopIfTrue="1" operator="greaterThanOrEqual">
      <formula>0</formula>
    </cfRule>
  </conditionalFormatting>
  <conditionalFormatting sqref="W28">
    <cfRule type="cellIs" dxfId="197" priority="219" stopIfTrue="1" operator="lessThan">
      <formula>0</formula>
    </cfRule>
    <cfRule type="cellIs" dxfId="196" priority="220" stopIfTrue="1" operator="greaterThanOrEqual">
      <formula>0</formula>
    </cfRule>
  </conditionalFormatting>
  <conditionalFormatting sqref="W27">
    <cfRule type="cellIs" dxfId="195" priority="217" stopIfTrue="1" operator="lessThan">
      <formula>0</formula>
    </cfRule>
    <cfRule type="cellIs" dxfId="194" priority="218" stopIfTrue="1" operator="greaterThanOrEqual">
      <formula>0</formula>
    </cfRule>
  </conditionalFormatting>
  <conditionalFormatting sqref="W62">
    <cfRule type="cellIs" dxfId="193" priority="215" stopIfTrue="1" operator="lessThan">
      <formula>0</formula>
    </cfRule>
    <cfRule type="cellIs" dxfId="192" priority="216" stopIfTrue="1" operator="greaterThanOrEqual">
      <formula>0</formula>
    </cfRule>
  </conditionalFormatting>
  <conditionalFormatting sqref="W61">
    <cfRule type="cellIs" dxfId="191" priority="213" stopIfTrue="1" operator="lessThan">
      <formula>0</formula>
    </cfRule>
    <cfRule type="cellIs" dxfId="190" priority="214" stopIfTrue="1" operator="greaterThanOrEqual">
      <formula>0</formula>
    </cfRule>
  </conditionalFormatting>
  <conditionalFormatting sqref="W57">
    <cfRule type="cellIs" dxfId="189" priority="209" stopIfTrue="1" operator="lessThan">
      <formula>0</formula>
    </cfRule>
    <cfRule type="cellIs" dxfId="188" priority="210" stopIfTrue="1" operator="greaterThanOrEqual">
      <formula>0</formula>
    </cfRule>
  </conditionalFormatting>
  <conditionalFormatting sqref="W58">
    <cfRule type="cellIs" dxfId="187" priority="211" stopIfTrue="1" operator="lessThan">
      <formula>0</formula>
    </cfRule>
    <cfRule type="cellIs" dxfId="186" priority="212" stopIfTrue="1" operator="greaterThanOrEqual">
      <formula>0</formula>
    </cfRule>
  </conditionalFormatting>
  <conditionalFormatting sqref="W11">
    <cfRule type="cellIs" dxfId="185" priority="205" stopIfTrue="1" operator="lessThan">
      <formula>0</formula>
    </cfRule>
    <cfRule type="cellIs" dxfId="184" priority="206" stopIfTrue="1" operator="greaterThanOrEqual">
      <formula>0</formula>
    </cfRule>
  </conditionalFormatting>
  <conditionalFormatting sqref="W12">
    <cfRule type="cellIs" dxfId="183" priority="207" stopIfTrue="1" operator="lessThan">
      <formula>0</formula>
    </cfRule>
    <cfRule type="cellIs" dxfId="182" priority="208" stopIfTrue="1" operator="greaterThanOrEqual">
      <formula>0</formula>
    </cfRule>
  </conditionalFormatting>
  <conditionalFormatting sqref="W15">
    <cfRule type="cellIs" dxfId="181" priority="201" stopIfTrue="1" operator="lessThan">
      <formula>0</formula>
    </cfRule>
    <cfRule type="cellIs" dxfId="180" priority="202" stopIfTrue="1" operator="greaterThanOrEqual">
      <formula>0</formula>
    </cfRule>
  </conditionalFormatting>
  <conditionalFormatting sqref="W16">
    <cfRule type="cellIs" dxfId="179" priority="203" stopIfTrue="1" operator="lessThan">
      <formula>0</formula>
    </cfRule>
    <cfRule type="cellIs" dxfId="178" priority="204" stopIfTrue="1" operator="greaterThanOrEqual">
      <formula>0</formula>
    </cfRule>
  </conditionalFormatting>
  <conditionalFormatting sqref="W23">
    <cfRule type="cellIs" dxfId="177" priority="197" stopIfTrue="1" operator="lessThan">
      <formula>0</formula>
    </cfRule>
    <cfRule type="cellIs" dxfId="176" priority="198" stopIfTrue="1" operator="greaterThanOrEqual">
      <formula>0</formula>
    </cfRule>
  </conditionalFormatting>
  <conditionalFormatting sqref="W24">
    <cfRule type="cellIs" dxfId="175" priority="199" stopIfTrue="1" operator="lessThan">
      <formula>0</formula>
    </cfRule>
    <cfRule type="cellIs" dxfId="174" priority="200" stopIfTrue="1" operator="greaterThanOrEqual">
      <formula>0</formula>
    </cfRule>
  </conditionalFormatting>
  <conditionalFormatting sqref="W119">
    <cfRule type="cellIs" dxfId="173" priority="193" stopIfTrue="1" operator="lessThan">
      <formula>0</formula>
    </cfRule>
    <cfRule type="cellIs" dxfId="172" priority="194" stopIfTrue="1" operator="greaterThanOrEqual">
      <formula>0</formula>
    </cfRule>
  </conditionalFormatting>
  <conditionalFormatting sqref="W120">
    <cfRule type="cellIs" dxfId="171" priority="195" stopIfTrue="1" operator="lessThan">
      <formula>0</formula>
    </cfRule>
    <cfRule type="cellIs" dxfId="170" priority="196" stopIfTrue="1" operator="greaterThanOrEqual">
      <formula>0</formula>
    </cfRule>
  </conditionalFormatting>
  <conditionalFormatting sqref="W52">
    <cfRule type="cellIs" dxfId="169" priority="189" stopIfTrue="1" operator="lessThan">
      <formula>0</formula>
    </cfRule>
    <cfRule type="cellIs" dxfId="168" priority="190" stopIfTrue="1" operator="greaterThanOrEqual">
      <formula>0</formula>
    </cfRule>
  </conditionalFormatting>
  <conditionalFormatting sqref="W55">
    <cfRule type="cellIs" dxfId="167" priority="187" stopIfTrue="1" operator="lessThan">
      <formula>0</formula>
    </cfRule>
    <cfRule type="cellIs" dxfId="166" priority="188" stopIfTrue="1" operator="greaterThanOrEqual">
      <formula>0</formula>
    </cfRule>
  </conditionalFormatting>
  <conditionalFormatting sqref="W49">
    <cfRule type="cellIs" dxfId="165" priority="169" stopIfTrue="1" operator="lessThan">
      <formula>0</formula>
    </cfRule>
    <cfRule type="cellIs" dxfId="164" priority="170" stopIfTrue="1" operator="greaterThanOrEqual">
      <formula>0</formula>
    </cfRule>
  </conditionalFormatting>
  <conditionalFormatting sqref="W115">
    <cfRule type="cellIs" dxfId="163" priority="165" stopIfTrue="1" operator="lessThan">
      <formula>0</formula>
    </cfRule>
    <cfRule type="cellIs" dxfId="162" priority="166" stopIfTrue="1" operator="greaterThanOrEqual">
      <formula>0</formula>
    </cfRule>
  </conditionalFormatting>
  <conditionalFormatting sqref="W116">
    <cfRule type="cellIs" dxfId="161" priority="167" stopIfTrue="1" operator="lessThan">
      <formula>0</formula>
    </cfRule>
    <cfRule type="cellIs" dxfId="160" priority="168" stopIfTrue="1" operator="greaterThanOrEqual">
      <formula>0</formula>
    </cfRule>
  </conditionalFormatting>
  <conditionalFormatting sqref="W111">
    <cfRule type="cellIs" dxfId="159" priority="161" stopIfTrue="1" operator="lessThan">
      <formula>0</formula>
    </cfRule>
    <cfRule type="cellIs" dxfId="158" priority="162" stopIfTrue="1" operator="greaterThanOrEqual">
      <formula>0</formula>
    </cfRule>
  </conditionalFormatting>
  <conditionalFormatting sqref="W112">
    <cfRule type="cellIs" dxfId="157" priority="163" stopIfTrue="1" operator="lessThan">
      <formula>0</formula>
    </cfRule>
    <cfRule type="cellIs" dxfId="156" priority="164" stopIfTrue="1" operator="greaterThanOrEqual">
      <formula>0</formula>
    </cfRule>
  </conditionalFormatting>
  <conditionalFormatting sqref="W7">
    <cfRule type="cellIs" dxfId="155" priority="157" stopIfTrue="1" operator="lessThan">
      <formula>0</formula>
    </cfRule>
    <cfRule type="cellIs" dxfId="154" priority="158" stopIfTrue="1" operator="greaterThanOrEqual">
      <formula>0</formula>
    </cfRule>
  </conditionalFormatting>
  <conditionalFormatting sqref="W8">
    <cfRule type="cellIs" dxfId="153" priority="159" stopIfTrue="1" operator="lessThan">
      <formula>0</formula>
    </cfRule>
    <cfRule type="cellIs" dxfId="152" priority="160" stopIfTrue="1" operator="greaterThanOrEqual">
      <formula>0</formula>
    </cfRule>
  </conditionalFormatting>
  <conditionalFormatting sqref="W160">
    <cfRule type="cellIs" dxfId="151" priority="155" stopIfTrue="1" operator="lessThan">
      <formula>0</formula>
    </cfRule>
    <cfRule type="cellIs" dxfId="150" priority="156" stopIfTrue="1" operator="greaterThanOrEqual">
      <formula>0</formula>
    </cfRule>
  </conditionalFormatting>
  <conditionalFormatting sqref="W159">
    <cfRule type="cellIs" dxfId="149" priority="153" stopIfTrue="1" operator="lessThan">
      <formula>0</formula>
    </cfRule>
    <cfRule type="cellIs" dxfId="148" priority="154" stopIfTrue="1" operator="greaterThanOrEqual">
      <formula>0</formula>
    </cfRule>
  </conditionalFormatting>
  <conditionalFormatting sqref="W158">
    <cfRule type="cellIs" dxfId="147" priority="151" stopIfTrue="1" operator="lessThan">
      <formula>0</formula>
    </cfRule>
    <cfRule type="cellIs" dxfId="146" priority="152" stopIfTrue="1" operator="greaterThanOrEqual">
      <formula>0</formula>
    </cfRule>
  </conditionalFormatting>
  <conditionalFormatting sqref="W155">
    <cfRule type="cellIs" dxfId="145" priority="149" stopIfTrue="1" operator="lessThan">
      <formula>0</formula>
    </cfRule>
    <cfRule type="cellIs" dxfId="144" priority="150" stopIfTrue="1" operator="greaterThanOrEqual">
      <formula>0</formula>
    </cfRule>
  </conditionalFormatting>
  <conditionalFormatting sqref="W154">
    <cfRule type="cellIs" dxfId="143" priority="147" stopIfTrue="1" operator="lessThan">
      <formula>0</formula>
    </cfRule>
    <cfRule type="cellIs" dxfId="142" priority="148" stopIfTrue="1" operator="greaterThanOrEqual">
      <formula>0</formula>
    </cfRule>
  </conditionalFormatting>
  <conditionalFormatting sqref="W150">
    <cfRule type="cellIs" dxfId="141" priority="145" stopIfTrue="1" operator="lessThan">
      <formula>0</formula>
    </cfRule>
    <cfRule type="cellIs" dxfId="140" priority="146" stopIfTrue="1" operator="greaterThanOrEqual">
      <formula>0</formula>
    </cfRule>
  </conditionalFormatting>
  <conditionalFormatting sqref="W152">
    <cfRule type="cellIs" dxfId="139" priority="143" stopIfTrue="1" operator="lessThan">
      <formula>0</formula>
    </cfRule>
    <cfRule type="cellIs" dxfId="138" priority="144" stopIfTrue="1" operator="greaterThanOrEqual">
      <formula>0</formula>
    </cfRule>
  </conditionalFormatting>
  <conditionalFormatting sqref="W162">
    <cfRule type="cellIs" dxfId="137" priority="139" stopIfTrue="1" operator="lessThan">
      <formula>0</formula>
    </cfRule>
    <cfRule type="cellIs" dxfId="136" priority="140" stopIfTrue="1" operator="greaterThanOrEqual">
      <formula>0</formula>
    </cfRule>
  </conditionalFormatting>
  <conditionalFormatting sqref="W164">
    <cfRule type="cellIs" dxfId="135" priority="137" stopIfTrue="1" operator="lessThan">
      <formula>0</formula>
    </cfRule>
    <cfRule type="cellIs" dxfId="134" priority="138" stopIfTrue="1" operator="greaterThanOrEqual">
      <formula>0</formula>
    </cfRule>
  </conditionalFormatting>
  <conditionalFormatting sqref="W92">
    <cfRule type="cellIs" dxfId="133" priority="135" stopIfTrue="1" operator="lessThan">
      <formula>0</formula>
    </cfRule>
    <cfRule type="cellIs" dxfId="132" priority="136" stopIfTrue="1" operator="greaterThanOrEqual">
      <formula>0</formula>
    </cfRule>
  </conditionalFormatting>
  <conditionalFormatting sqref="W94">
    <cfRule type="cellIs" dxfId="131" priority="133" stopIfTrue="1" operator="lessThan">
      <formula>0</formula>
    </cfRule>
    <cfRule type="cellIs" dxfId="130" priority="134" stopIfTrue="1" operator="greaterThanOrEqual">
      <formula>0</formula>
    </cfRule>
  </conditionalFormatting>
  <conditionalFormatting sqref="W95">
    <cfRule type="cellIs" dxfId="129" priority="131" stopIfTrue="1" operator="lessThan">
      <formula>0</formula>
    </cfRule>
    <cfRule type="cellIs" dxfId="128" priority="132" stopIfTrue="1" operator="greaterThanOrEqual">
      <formula>0</formula>
    </cfRule>
  </conditionalFormatting>
  <conditionalFormatting sqref="W97">
    <cfRule type="cellIs" dxfId="127" priority="129" stopIfTrue="1" operator="lessThan">
      <formula>0</formula>
    </cfRule>
    <cfRule type="cellIs" dxfId="126" priority="130" stopIfTrue="1" operator="greaterThanOrEqual">
      <formula>0</formula>
    </cfRule>
  </conditionalFormatting>
  <conditionalFormatting sqref="W98">
    <cfRule type="cellIs" dxfId="125" priority="127" stopIfTrue="1" operator="lessThan">
      <formula>0</formula>
    </cfRule>
    <cfRule type="cellIs" dxfId="124" priority="128" stopIfTrue="1" operator="greaterThanOrEqual">
      <formula>0</formula>
    </cfRule>
  </conditionalFormatting>
  <conditionalFormatting sqref="W100">
    <cfRule type="cellIs" dxfId="123" priority="125" stopIfTrue="1" operator="lessThan">
      <formula>0</formula>
    </cfRule>
    <cfRule type="cellIs" dxfId="122" priority="126" stopIfTrue="1" operator="greaterThanOrEqual">
      <formula>0</formula>
    </cfRule>
  </conditionalFormatting>
  <conditionalFormatting sqref="W77">
    <cfRule type="cellIs" dxfId="121" priority="123" stopIfTrue="1" operator="lessThan">
      <formula>0</formula>
    </cfRule>
    <cfRule type="cellIs" dxfId="120" priority="124" stopIfTrue="1" operator="greaterThanOrEqual">
      <formula>0</formula>
    </cfRule>
  </conditionalFormatting>
  <conditionalFormatting sqref="W79">
    <cfRule type="cellIs" dxfId="119" priority="121" stopIfTrue="1" operator="lessThan">
      <formula>0</formula>
    </cfRule>
    <cfRule type="cellIs" dxfId="118" priority="122" stopIfTrue="1" operator="greaterThanOrEqual">
      <formula>0</formula>
    </cfRule>
  </conditionalFormatting>
  <conditionalFormatting sqref="W74">
    <cfRule type="cellIs" dxfId="117" priority="119" stopIfTrue="1" operator="lessThan">
      <formula>0</formula>
    </cfRule>
    <cfRule type="cellIs" dxfId="116" priority="120" stopIfTrue="1" operator="greaterThanOrEqual">
      <formula>0</formula>
    </cfRule>
  </conditionalFormatting>
  <conditionalFormatting sqref="W76">
    <cfRule type="cellIs" dxfId="115" priority="117" stopIfTrue="1" operator="lessThan">
      <formula>0</formula>
    </cfRule>
    <cfRule type="cellIs" dxfId="114" priority="118" stopIfTrue="1" operator="greaterThanOrEqual">
      <formula>0</formula>
    </cfRule>
  </conditionalFormatting>
  <conditionalFormatting sqref="W86">
    <cfRule type="cellIs" dxfId="113" priority="115" stopIfTrue="1" operator="lessThan">
      <formula>0</formula>
    </cfRule>
    <cfRule type="cellIs" dxfId="112" priority="116" stopIfTrue="1" operator="greaterThanOrEqual">
      <formula>0</formula>
    </cfRule>
  </conditionalFormatting>
  <conditionalFormatting sqref="W88">
    <cfRule type="cellIs" dxfId="111" priority="113" stopIfTrue="1" operator="lessThan">
      <formula>0</formula>
    </cfRule>
    <cfRule type="cellIs" dxfId="110" priority="114" stopIfTrue="1" operator="greaterThanOrEqual">
      <formula>0</formula>
    </cfRule>
  </conditionalFormatting>
  <conditionalFormatting sqref="W89">
    <cfRule type="cellIs" dxfId="109" priority="111" stopIfTrue="1" operator="lessThan">
      <formula>0</formula>
    </cfRule>
    <cfRule type="cellIs" dxfId="108" priority="112" stopIfTrue="1" operator="greaterThanOrEqual">
      <formula>0</formula>
    </cfRule>
  </conditionalFormatting>
  <conditionalFormatting sqref="W91">
    <cfRule type="cellIs" dxfId="107" priority="109" stopIfTrue="1" operator="lessThan">
      <formula>0</formula>
    </cfRule>
    <cfRule type="cellIs" dxfId="106" priority="110" stopIfTrue="1" operator="greaterThanOrEqual">
      <formula>0</formula>
    </cfRule>
  </conditionalFormatting>
  <conditionalFormatting sqref="W108">
    <cfRule type="cellIs" dxfId="105" priority="107" stopIfTrue="1" operator="lessThan">
      <formula>0</formula>
    </cfRule>
    <cfRule type="cellIs" dxfId="104" priority="108" stopIfTrue="1" operator="greaterThanOrEqual">
      <formula>0</formula>
    </cfRule>
  </conditionalFormatting>
  <conditionalFormatting sqref="W107">
    <cfRule type="cellIs" dxfId="103" priority="105" stopIfTrue="1" operator="lessThan">
      <formula>0</formula>
    </cfRule>
    <cfRule type="cellIs" dxfId="102" priority="106" stopIfTrue="1" operator="greaterThanOrEqual">
      <formula>0</formula>
    </cfRule>
  </conditionalFormatting>
  <conditionalFormatting sqref="W110">
    <cfRule type="cellIs" dxfId="101" priority="103" stopIfTrue="1" operator="lessThan">
      <formula>0</formula>
    </cfRule>
    <cfRule type="cellIs" dxfId="100" priority="104" stopIfTrue="1" operator="greaterThanOrEqual">
      <formula>0</formula>
    </cfRule>
  </conditionalFormatting>
  <conditionalFormatting sqref="W104">
    <cfRule type="cellIs" dxfId="99" priority="101" stopIfTrue="1" operator="lessThan">
      <formula>0</formula>
    </cfRule>
    <cfRule type="cellIs" dxfId="98" priority="102" stopIfTrue="1" operator="greaterThanOrEqual">
      <formula>0</formula>
    </cfRule>
  </conditionalFormatting>
  <conditionalFormatting sqref="W106">
    <cfRule type="cellIs" dxfId="97" priority="99" stopIfTrue="1" operator="lessThan">
      <formula>0</formula>
    </cfRule>
    <cfRule type="cellIs" dxfId="96" priority="100" stopIfTrue="1" operator="greaterThanOrEqual">
      <formula>0</formula>
    </cfRule>
  </conditionalFormatting>
  <conditionalFormatting sqref="W80">
    <cfRule type="cellIs" dxfId="95" priority="97" stopIfTrue="1" operator="lessThan">
      <formula>0</formula>
    </cfRule>
    <cfRule type="cellIs" dxfId="94" priority="98" stopIfTrue="1" operator="greaterThanOrEqual">
      <formula>0</formula>
    </cfRule>
  </conditionalFormatting>
  <conditionalFormatting sqref="W82">
    <cfRule type="cellIs" dxfId="93" priority="95" stopIfTrue="1" operator="lessThan">
      <formula>0</formula>
    </cfRule>
    <cfRule type="cellIs" dxfId="92" priority="96" stopIfTrue="1" operator="greaterThanOrEqual">
      <formula>0</formula>
    </cfRule>
  </conditionalFormatting>
  <conditionalFormatting sqref="W83">
    <cfRule type="cellIs" dxfId="91" priority="93" stopIfTrue="1" operator="lessThan">
      <formula>0</formula>
    </cfRule>
    <cfRule type="cellIs" dxfId="90" priority="94" stopIfTrue="1" operator="greaterThanOrEqual">
      <formula>0</formula>
    </cfRule>
  </conditionalFormatting>
  <conditionalFormatting sqref="W85">
    <cfRule type="cellIs" dxfId="89" priority="91" stopIfTrue="1" operator="lessThan">
      <formula>0</formula>
    </cfRule>
    <cfRule type="cellIs" dxfId="88" priority="92" stopIfTrue="1" operator="greaterThanOrEqual">
      <formula>0</formula>
    </cfRule>
  </conditionalFormatting>
  <conditionalFormatting sqref="W103">
    <cfRule type="cellIs" dxfId="87" priority="87" stopIfTrue="1" operator="lessThan">
      <formula>0</formula>
    </cfRule>
    <cfRule type="cellIs" dxfId="86" priority="88" stopIfTrue="1" operator="greaterThanOrEqual">
      <formula>0</formula>
    </cfRule>
  </conditionalFormatting>
  <conditionalFormatting sqref="W101">
    <cfRule type="cellIs" dxfId="85" priority="89" stopIfTrue="1" operator="lessThan">
      <formula>0</formula>
    </cfRule>
    <cfRule type="cellIs" dxfId="84" priority="90" stopIfTrue="1" operator="greaterThanOrEqual">
      <formula>0</formula>
    </cfRule>
  </conditionalFormatting>
  <conditionalFormatting sqref="W148">
    <cfRule type="cellIs" dxfId="83" priority="85" stopIfTrue="1" operator="lessThan">
      <formula>0</formula>
    </cfRule>
    <cfRule type="cellIs" dxfId="82" priority="86" stopIfTrue="1" operator="greaterThanOrEqual">
      <formula>0</formula>
    </cfRule>
  </conditionalFormatting>
  <conditionalFormatting sqref="W146">
    <cfRule type="cellIs" dxfId="81" priority="83" stopIfTrue="1" operator="lessThan">
      <formula>0</formula>
    </cfRule>
    <cfRule type="cellIs" dxfId="80" priority="84" stopIfTrue="1" operator="greaterThanOrEqual">
      <formula>0</formula>
    </cfRule>
  </conditionalFormatting>
  <conditionalFormatting sqref="W66">
    <cfRule type="cellIs" dxfId="79" priority="81" stopIfTrue="1" operator="lessThan">
      <formula>0</formula>
    </cfRule>
    <cfRule type="cellIs" dxfId="78" priority="82" stopIfTrue="1" operator="greaterThanOrEqual">
      <formula>0</formula>
    </cfRule>
  </conditionalFormatting>
  <conditionalFormatting sqref="W68">
    <cfRule type="cellIs" dxfId="77" priority="79" stopIfTrue="1" operator="lessThan">
      <formula>0</formula>
    </cfRule>
    <cfRule type="cellIs" dxfId="76" priority="80" stopIfTrue="1" operator="greaterThanOrEqual">
      <formula>0</formula>
    </cfRule>
  </conditionalFormatting>
  <conditionalFormatting sqref="W129">
    <cfRule type="cellIs" dxfId="75" priority="77" stopIfTrue="1" operator="lessThan">
      <formula>0</formula>
    </cfRule>
    <cfRule type="cellIs" dxfId="74" priority="78" stopIfTrue="1" operator="greaterThanOrEqual">
      <formula>0</formula>
    </cfRule>
  </conditionalFormatting>
  <conditionalFormatting sqref="W127">
    <cfRule type="cellIs" dxfId="73" priority="75" stopIfTrue="1" operator="lessThan">
      <formula>0</formula>
    </cfRule>
    <cfRule type="cellIs" dxfId="72" priority="76" stopIfTrue="1" operator="greaterThanOrEqual">
      <formula>0</formula>
    </cfRule>
  </conditionalFormatting>
  <conditionalFormatting sqref="W125">
    <cfRule type="cellIs" dxfId="71" priority="73" stopIfTrue="1" operator="lessThan">
      <formula>0</formula>
    </cfRule>
    <cfRule type="cellIs" dxfId="70" priority="74" stopIfTrue="1" operator="greaterThanOrEqual">
      <formula>0</formula>
    </cfRule>
  </conditionalFormatting>
  <conditionalFormatting sqref="W73">
    <cfRule type="cellIs" dxfId="69" priority="71" stopIfTrue="1" operator="lessThan">
      <formula>0</formula>
    </cfRule>
    <cfRule type="cellIs" dxfId="68" priority="72" stopIfTrue="1" operator="greaterThanOrEqual">
      <formula>0</formula>
    </cfRule>
  </conditionalFormatting>
  <conditionalFormatting sqref="W71">
    <cfRule type="cellIs" dxfId="67" priority="69" stopIfTrue="1" operator="lessThan">
      <formula>0</formula>
    </cfRule>
    <cfRule type="cellIs" dxfId="66" priority="70" stopIfTrue="1" operator="greaterThanOrEqual">
      <formula>0</formula>
    </cfRule>
  </conditionalFormatting>
  <conditionalFormatting sqref="W45">
    <cfRule type="cellIs" dxfId="65" priority="67" stopIfTrue="1" operator="lessThan">
      <formula>0</formula>
    </cfRule>
    <cfRule type="cellIs" dxfId="64" priority="68" stopIfTrue="1" operator="greaterThanOrEqual">
      <formula>0</formula>
    </cfRule>
  </conditionalFormatting>
  <conditionalFormatting sqref="W41">
    <cfRule type="cellIs" dxfId="63" priority="65" stopIfTrue="1" operator="lessThan">
      <formula>0</formula>
    </cfRule>
    <cfRule type="cellIs" dxfId="62" priority="66" stopIfTrue="1" operator="greaterThanOrEqual">
      <formula>0</formula>
    </cfRule>
  </conditionalFormatting>
  <conditionalFormatting sqref="W43">
    <cfRule type="cellIs" dxfId="61" priority="63" stopIfTrue="1" operator="lessThan">
      <formula>0</formula>
    </cfRule>
    <cfRule type="cellIs" dxfId="60" priority="64" stopIfTrue="1" operator="greaterThanOrEqual">
      <formula>0</formula>
    </cfRule>
  </conditionalFormatting>
  <conditionalFormatting sqref="W39">
    <cfRule type="cellIs" dxfId="59" priority="61" stopIfTrue="1" operator="lessThan">
      <formula>0</formula>
    </cfRule>
    <cfRule type="cellIs" dxfId="58" priority="62" stopIfTrue="1" operator="greaterThanOrEqual">
      <formula>0</formula>
    </cfRule>
  </conditionalFormatting>
  <conditionalFormatting sqref="W38">
    <cfRule type="cellIs" dxfId="57" priority="57" stopIfTrue="1" operator="lessThan">
      <formula>0</formula>
    </cfRule>
    <cfRule type="cellIs" dxfId="56" priority="58" stopIfTrue="1" operator="greaterThanOrEqual">
      <formula>0</formula>
    </cfRule>
  </conditionalFormatting>
  <conditionalFormatting sqref="G38:T38">
    <cfRule type="containsText" dxfId="55" priority="59" stopIfTrue="1" operator="containsText" text="Scaduto">
      <formula>NOT(ISERROR(SEARCH("Scaduto",G38)))</formula>
    </cfRule>
    <cfRule type="containsText" dxfId="54" priority="60" stopIfTrue="1" operator="containsText" text="Scaduto">
      <formula>NOT(ISERROR(SEARCH("Scaduto",G38)))</formula>
    </cfRule>
  </conditionalFormatting>
  <conditionalFormatting sqref="W69">
    <cfRule type="cellIs" dxfId="53" priority="55" stopIfTrue="1" operator="lessThan">
      <formula>0</formula>
    </cfRule>
    <cfRule type="cellIs" dxfId="52" priority="56" stopIfTrue="1" operator="greaterThanOrEqual">
      <formula>0</formula>
    </cfRule>
  </conditionalFormatting>
  <conditionalFormatting sqref="W118">
    <cfRule type="cellIs" dxfId="51" priority="53" stopIfTrue="1" operator="lessThan">
      <formula>0</formula>
    </cfRule>
    <cfRule type="cellIs" dxfId="50" priority="54" stopIfTrue="1" operator="greaterThanOrEqual">
      <formula>0</formula>
    </cfRule>
  </conditionalFormatting>
  <conditionalFormatting sqref="W122">
    <cfRule type="cellIs" dxfId="49" priority="51" stopIfTrue="1" operator="lessThan">
      <formula>0</formula>
    </cfRule>
    <cfRule type="cellIs" dxfId="48" priority="52" stopIfTrue="1" operator="greaterThanOrEqual">
      <formula>0</formula>
    </cfRule>
  </conditionalFormatting>
  <conditionalFormatting sqref="W114">
    <cfRule type="cellIs" dxfId="47" priority="49" stopIfTrue="1" operator="lessThan">
      <formula>0</formula>
    </cfRule>
    <cfRule type="cellIs" dxfId="46" priority="50" stopIfTrue="1" operator="greaterThanOrEqual">
      <formula>0</formula>
    </cfRule>
  </conditionalFormatting>
  <conditionalFormatting sqref="W35">
    <cfRule type="cellIs" dxfId="45" priority="47" stopIfTrue="1" operator="lessThan">
      <formula>0</formula>
    </cfRule>
    <cfRule type="cellIs" dxfId="44" priority="48" stopIfTrue="1" operator="greaterThanOrEqual">
      <formula>0</formula>
    </cfRule>
  </conditionalFormatting>
  <conditionalFormatting sqref="W36">
    <cfRule type="cellIs" dxfId="43" priority="45" stopIfTrue="1" operator="lessThan">
      <formula>0</formula>
    </cfRule>
    <cfRule type="cellIs" dxfId="42" priority="46" stopIfTrue="1" operator="greaterThanOrEqual">
      <formula>0</formula>
    </cfRule>
  </conditionalFormatting>
  <conditionalFormatting sqref="W10">
    <cfRule type="cellIs" dxfId="41" priority="43" stopIfTrue="1" operator="lessThan">
      <formula>0</formula>
    </cfRule>
    <cfRule type="cellIs" dxfId="40" priority="44" stopIfTrue="1" operator="greaterThanOrEqual">
      <formula>0</formula>
    </cfRule>
  </conditionalFormatting>
  <conditionalFormatting sqref="W14">
    <cfRule type="cellIs" dxfId="39" priority="41" stopIfTrue="1" operator="lessThan">
      <formula>0</formula>
    </cfRule>
    <cfRule type="cellIs" dxfId="38" priority="42" stopIfTrue="1" operator="greaterThanOrEqual">
      <formula>0</formula>
    </cfRule>
  </conditionalFormatting>
  <conditionalFormatting sqref="W18">
    <cfRule type="cellIs" dxfId="37" priority="39" stopIfTrue="1" operator="lessThan">
      <formula>0</formula>
    </cfRule>
    <cfRule type="cellIs" dxfId="36" priority="40" stopIfTrue="1" operator="greaterThanOrEqual">
      <formula>0</formula>
    </cfRule>
  </conditionalFormatting>
  <conditionalFormatting sqref="W22">
    <cfRule type="cellIs" dxfId="35" priority="37" stopIfTrue="1" operator="lessThan">
      <formula>0</formula>
    </cfRule>
    <cfRule type="cellIs" dxfId="34" priority="38" stopIfTrue="1" operator="greaterThanOrEqual">
      <formula>0</formula>
    </cfRule>
  </conditionalFormatting>
  <conditionalFormatting sqref="W25">
    <cfRule type="cellIs" dxfId="33" priority="35" stopIfTrue="1" operator="lessThan">
      <formula>0</formula>
    </cfRule>
    <cfRule type="cellIs" dxfId="32" priority="36" stopIfTrue="1" operator="greaterThanOrEqual">
      <formula>0</formula>
    </cfRule>
  </conditionalFormatting>
  <conditionalFormatting sqref="W26">
    <cfRule type="cellIs" dxfId="31" priority="33" stopIfTrue="1" operator="lessThan">
      <formula>0</formula>
    </cfRule>
    <cfRule type="cellIs" dxfId="30" priority="34" stopIfTrue="1" operator="greaterThanOrEqual">
      <formula>0</formula>
    </cfRule>
  </conditionalFormatting>
  <conditionalFormatting sqref="W64">
    <cfRule type="cellIs" dxfId="29" priority="31" stopIfTrue="1" operator="lessThan">
      <formula>0</formula>
    </cfRule>
    <cfRule type="cellIs" dxfId="28" priority="32" stopIfTrue="1" operator="greaterThanOrEqual">
      <formula>0</formula>
    </cfRule>
  </conditionalFormatting>
  <conditionalFormatting sqref="W60">
    <cfRule type="cellIs" dxfId="27" priority="29" stopIfTrue="1" operator="lessThan">
      <formula>0</formula>
    </cfRule>
    <cfRule type="cellIs" dxfId="26" priority="30" stopIfTrue="1" operator="greaterThanOrEqual">
      <formula>0</formula>
    </cfRule>
  </conditionalFormatting>
  <conditionalFormatting sqref="W53">
    <cfRule type="cellIs" dxfId="25" priority="27" stopIfTrue="1" operator="lessThan">
      <formula>0</formula>
    </cfRule>
    <cfRule type="cellIs" dxfId="24" priority="28" stopIfTrue="1" operator="greaterThanOrEqual">
      <formula>0</formula>
    </cfRule>
  </conditionalFormatting>
  <conditionalFormatting sqref="W56">
    <cfRule type="cellIs" dxfId="23" priority="23" stopIfTrue="1" operator="lessThan">
      <formula>0</formula>
    </cfRule>
    <cfRule type="cellIs" dxfId="22" priority="24" stopIfTrue="1" operator="greaterThanOrEqual">
      <formula>0</formula>
    </cfRule>
  </conditionalFormatting>
  <conditionalFormatting sqref="W50">
    <cfRule type="cellIs" dxfId="21" priority="21" stopIfTrue="1" operator="lessThan">
      <formula>0</formula>
    </cfRule>
    <cfRule type="cellIs" dxfId="20" priority="22" stopIfTrue="1" operator="greaterThanOrEqual">
      <formula>0</formula>
    </cfRule>
  </conditionalFormatting>
  <conditionalFormatting sqref="W34">
    <cfRule type="cellIs" dxfId="19" priority="19" stopIfTrue="1" operator="lessThan">
      <formula>0</formula>
    </cfRule>
    <cfRule type="cellIs" dxfId="18" priority="20" stopIfTrue="1" operator="greaterThanOrEqual">
      <formula>0</formula>
    </cfRule>
  </conditionalFormatting>
  <conditionalFormatting sqref="W30">
    <cfRule type="cellIs" dxfId="17" priority="17" stopIfTrue="1" operator="lessThan">
      <formula>0</formula>
    </cfRule>
    <cfRule type="cellIs" dxfId="16" priority="18" stopIfTrue="1" operator="greaterThanOrEqual">
      <formula>0</formula>
    </cfRule>
  </conditionalFormatting>
  <conditionalFormatting sqref="W153">
    <cfRule type="cellIs" dxfId="15" priority="15" stopIfTrue="1" operator="lessThan">
      <formula>0</formula>
    </cfRule>
    <cfRule type="cellIs" dxfId="14" priority="16" stopIfTrue="1" operator="greaterThanOrEqual">
      <formula>0</formula>
    </cfRule>
  </conditionalFormatting>
  <conditionalFormatting sqref="W137">
    <cfRule type="cellIs" dxfId="13" priority="13" stopIfTrue="1" operator="lessThan">
      <formula>0</formula>
    </cfRule>
    <cfRule type="cellIs" dxfId="12" priority="14" stopIfTrue="1" operator="greaterThanOrEqual">
      <formula>0</formula>
    </cfRule>
  </conditionalFormatting>
  <conditionalFormatting sqref="W157">
    <cfRule type="cellIs" dxfId="11" priority="11" stopIfTrue="1" operator="lessThan">
      <formula>0</formula>
    </cfRule>
    <cfRule type="cellIs" dxfId="10" priority="12" stopIfTrue="1" operator="greaterThanOrEqual">
      <formula>0</formula>
    </cfRule>
  </conditionalFormatting>
  <conditionalFormatting sqref="W161">
    <cfRule type="cellIs" dxfId="9" priority="9" stopIfTrue="1" operator="lessThan">
      <formula>0</formula>
    </cfRule>
    <cfRule type="cellIs" dxfId="8" priority="10" stopIfTrue="1" operator="greaterThanOrEqual">
      <formula>0</formula>
    </cfRule>
  </conditionalFormatting>
  <conditionalFormatting sqref="W133">
    <cfRule type="cellIs" dxfId="7" priority="7" stopIfTrue="1" operator="lessThan">
      <formula>0</formula>
    </cfRule>
    <cfRule type="cellIs" dxfId="6" priority="8" stopIfTrue="1" operator="greaterThanOrEqual">
      <formula>0</formula>
    </cfRule>
  </conditionalFormatting>
  <conditionalFormatting sqref="W141">
    <cfRule type="cellIs" dxfId="5" priority="5" stopIfTrue="1" operator="lessThan">
      <formula>0</formula>
    </cfRule>
    <cfRule type="cellIs" dxfId="4" priority="6" stopIfTrue="1" operator="greaterThanOrEqual">
      <formula>0</formula>
    </cfRule>
  </conditionalFormatting>
  <conditionalFormatting sqref="W147">
    <cfRule type="cellIs" dxfId="3" priority="3" stopIfTrue="1" operator="lessThan">
      <formula>0</formula>
    </cfRule>
    <cfRule type="cellIs" dxfId="2" priority="4" stopIfTrue="1" operator="greaterThanOrEqual">
      <formula>0</formula>
    </cfRule>
  </conditionalFormatting>
  <conditionalFormatting sqref="S39:T39">
    <cfRule type="containsText" dxfId="1" priority="1" stopIfTrue="1" operator="containsText" text="Scaduto">
      <formula>NOT(ISERROR(SEARCH("Scaduto",S39)))</formula>
    </cfRule>
    <cfRule type="containsText" dxfId="0" priority="2" stopIfTrue="1" operator="containsText" text="Scaduto">
      <formula>NOT(ISERROR(SEARCH("Scaduto",S39)))</formula>
    </cfRule>
  </conditionalFormatting>
  <hyperlinks>
    <hyperlink ref="Q9:R9" r:id="rId1" display="115-24" xr:uid="{00000000-0004-0000-0000-000000000000}"/>
    <hyperlink ref="Q13:R13" r:id="rId2" display="116-24" xr:uid="{00000000-0004-0000-0000-000001000000}"/>
    <hyperlink ref="Q17:R17" r:id="rId3" display="117-24" xr:uid="{00000000-0004-0000-0000-000002000000}"/>
    <hyperlink ref="Q21:R21" r:id="rId4" display="119-24" xr:uid="{00000000-0004-0000-0000-000003000000}"/>
    <hyperlink ref="Q29:R29" r:id="rId5" display="121-24" xr:uid="{00000000-0004-0000-0000-000005000000}"/>
    <hyperlink ref="Q33:R33" r:id="rId6" display="120-24" xr:uid="{00000000-0004-0000-0000-000006000000}"/>
    <hyperlink ref="Q40:R40" r:id="rId7" display="089-24" xr:uid="{00000000-0004-0000-0000-000009000000}"/>
    <hyperlink ref="Q42:R42" r:id="rId8" display="090-24" xr:uid="{00000000-0004-0000-0000-00000A000000}"/>
    <hyperlink ref="Q44:R44" r:id="rId9" display="088-24" xr:uid="{00000000-0004-0000-0000-00000B000000}"/>
    <hyperlink ref="Q47:R47" r:id="rId10" display="135-24" xr:uid="{00000000-0004-0000-0000-00000C000000}"/>
    <hyperlink ref="Q49:R49" r:id="rId11" display="136-24" xr:uid="{00000000-0004-0000-0000-00000D000000}"/>
    <hyperlink ref="Q52:R52" r:id="rId12" display="138-24" xr:uid="{00000000-0004-0000-0000-00000E000000}"/>
    <hyperlink ref="Q55:R55" r:id="rId13" display="137-24" xr:uid="{00000000-0004-0000-0000-00000F000000}"/>
    <hyperlink ref="Q59:R59" r:id="rId14" display="123-24" xr:uid="{00000000-0004-0000-0000-000010000000}"/>
    <hyperlink ref="Q63:R63" r:id="rId15" display="122-24" xr:uid="{00000000-0004-0000-0000-000011000000}"/>
    <hyperlink ref="Q65:R65" r:id="rId16" display="103-23" xr:uid="{00000000-0004-0000-0000-000012000000}"/>
    <hyperlink ref="Q67:R67" r:id="rId17" display="102-23" xr:uid="{00000000-0004-0000-0000-000013000000}"/>
    <hyperlink ref="Q76:R76" r:id="rId18" display="153-24" xr:uid="{00000000-0004-0000-0000-000015000000}"/>
    <hyperlink ref="Q79:R79" r:id="rId19" display="151-24" xr:uid="{00000000-0004-0000-0000-000016000000}"/>
    <hyperlink ref="Q88:R88" r:id="rId20" display="150-24" xr:uid="{00000000-0004-0000-0000-000017000000}"/>
    <hyperlink ref="Q91:R91" r:id="rId21" display="152-24" xr:uid="{00000000-0004-0000-0000-000018000000}"/>
    <hyperlink ref="Q94:R94" r:id="rId22" display="149-24" xr:uid="{00000000-0004-0000-0000-000019000000}"/>
    <hyperlink ref="Q97:R97" r:id="rId23" display="147-24" xr:uid="{00000000-0004-0000-0000-00001A000000}"/>
    <hyperlink ref="Q100:R100" r:id="rId24" display="148-24" xr:uid="{00000000-0004-0000-0000-00001B000000}"/>
    <hyperlink ref="Q113:R113" r:id="rId25" display="114-24" xr:uid="{00000000-0004-0000-0000-00001C000000}"/>
    <hyperlink ref="Q117:R117" r:id="rId26" display="113-24" xr:uid="{00000000-0004-0000-0000-00001D000000}"/>
    <hyperlink ref="Q132:R132" r:id="rId27" display="132-24" xr:uid="{00000000-0004-0000-0000-00001E000000}"/>
    <hyperlink ref="Q136:R136" r:id="rId28" display="133-24" xr:uid="{00000000-0004-0000-0000-00001F000000}"/>
    <hyperlink ref="Q140:R140" r:id="rId29" display="134-24" xr:uid="{00000000-0004-0000-0000-000020000000}"/>
    <hyperlink ref="Q152:R152" r:id="rId30" display="143-24" xr:uid="{00000000-0004-0000-0000-000021000000}"/>
    <hyperlink ref="Q156:R156" r:id="rId31" display="142-24" xr:uid="{00000000-0004-0000-0000-000022000000}"/>
    <hyperlink ref="Q160:R160" r:id="rId32" display="144-24" xr:uid="{00000000-0004-0000-0000-000023000000}"/>
    <hyperlink ref="Q164:R164" r:id="rId33" display="146-24" xr:uid="{00000000-0004-0000-0000-000024000000}"/>
    <hyperlink ref="Q110:R110" r:id="rId34" display="154-24" xr:uid="{00000000-0004-0000-0000-000025000000}"/>
    <hyperlink ref="Q82:R82" r:id="rId35" display="158-24" xr:uid="{00000000-0004-0000-0000-000026000000}"/>
    <hyperlink ref="Q85:R85" r:id="rId36" display="156-24" xr:uid="{00000000-0004-0000-0000-000027000000}"/>
    <hyperlink ref="Q103:R103" r:id="rId37" display="157-24" xr:uid="{00000000-0004-0000-0000-000028000000}"/>
    <hyperlink ref="Q106:R106" r:id="rId38" display="155-24" xr:uid="{00000000-0004-0000-0000-000029000000}"/>
    <hyperlink ref="Q121:R121" r:id="rId39" display="112-24" xr:uid="{00000000-0004-0000-0000-00002A000000}"/>
    <hyperlink ref="Q66:R66" r:id="rId40" display="178-24" xr:uid="{00000000-0004-0000-0000-00002B000000}"/>
    <hyperlink ref="Q68:R68" r:id="rId41" display="177-24" xr:uid="{00000000-0004-0000-0000-00002C000000}"/>
    <hyperlink ref="Q70:R70" r:id="rId42" display="LAT 042 00854/24" xr:uid="{00000000-0004-0000-0000-00002D000000}"/>
    <hyperlink ref="Q72:R72" r:id="rId43" display="LAT 042 00854/24" xr:uid="{9A18EE9D-464D-4967-B749-C54EF56EF577}"/>
    <hyperlink ref="Q45:R45" r:id="rId44" display="088-24" xr:uid="{1A395FCF-816E-4A4C-8187-D8137B061FB9}"/>
    <hyperlink ref="Q41:R41" r:id="rId45" display="089-24" xr:uid="{277AF65A-9A89-4299-9E3B-040126597EEF}"/>
    <hyperlink ref="Q43:R43" r:id="rId46" display="090-24" xr:uid="{2C220469-FC20-4765-B77A-31D02A462D4C}"/>
    <hyperlink ref="Q39:R39" r:id="rId47" display="141-24" xr:uid="{BDEFC5B7-5D99-47B9-8E24-58B467D68046}"/>
    <hyperlink ref="Q38:R38" r:id="rId48" display="139-24" xr:uid="{C79389FB-6D06-429B-AB6A-73064B1DA193}"/>
    <hyperlink ref="Q69:R69" r:id="rId49" display="140-24" xr:uid="{2C65B5F7-68B4-48FD-B50C-A6CCCD687BFF}"/>
    <hyperlink ref="Q118:R118" r:id="rId50" display="113-24" xr:uid="{A952A773-30FA-495C-B0FF-CA4D8BF70357}"/>
    <hyperlink ref="Q122:R122" r:id="rId51" display="113-24" xr:uid="{733849C5-B993-4F59-889F-C760F92EBED6}"/>
    <hyperlink ref="Q114:R114" r:id="rId52" display="113-24" xr:uid="{4B6E18B4-9877-413E-B71C-84F4E91E78C2}"/>
    <hyperlink ref="Q35:R35" r:id="rId53" display="120-24" xr:uid="{20062618-B96F-4139-9B2C-A51296F2407D}"/>
    <hyperlink ref="Q36:R36" r:id="rId54" display="120-24" xr:uid="{56387366-40DB-41ED-AD9F-BC239019A269}"/>
    <hyperlink ref="Q10:R10" r:id="rId55" display="115-24" xr:uid="{404B2E35-447E-4ED7-B828-C903FE5A57FA}"/>
    <hyperlink ref="Q14:R14" r:id="rId56" display="115-24" xr:uid="{8780C2BF-F95C-4787-9044-1B09A80B2AAB}"/>
    <hyperlink ref="Q18:R18" r:id="rId57" display="117-24" xr:uid="{5C69611A-E8CA-459C-B877-B298851B9B1D}"/>
    <hyperlink ref="Q22:R22" r:id="rId58" display="119-24" xr:uid="{8BE5C26E-04A2-4955-977C-B8B7EA777714}"/>
    <hyperlink ref="Q25:R25" r:id="rId59" display="118-24" xr:uid="{88A9EDFD-D9F2-4F58-A5AF-A73B9C7A8EB3}"/>
    <hyperlink ref="Q26:R26" r:id="rId60" display="118-24" xr:uid="{5A7686B3-DC1E-4DA1-9B05-C000267102C1}"/>
    <hyperlink ref="Q64:R64" r:id="rId61" display="122-24" xr:uid="{8476A2A9-56C7-412D-8ECA-93666649E133}"/>
    <hyperlink ref="Q60:R60" r:id="rId62" display="123-24" xr:uid="{2A19DA5C-06C8-497E-A598-916CA78E5ACE}"/>
    <hyperlink ref="Q53:R53" r:id="rId63" display="138-24" xr:uid="{9674B815-C87F-4CBA-8176-8455426A5A40}"/>
    <hyperlink ref="Q50:R50" r:id="rId64" display="136-24" xr:uid="{C431F7DE-DD69-45DB-95BE-74DB268BDA6B}"/>
    <hyperlink ref="Q34:R34" r:id="rId65" display="120-24" xr:uid="{3B8A1032-5649-44E6-A8E4-190CEAEB668C}"/>
    <hyperlink ref="Q30:R30" r:id="rId66" display="121-24" xr:uid="{BC01ED05-56D6-4186-B8D4-508E64775310}"/>
    <hyperlink ref="Q153:R153" r:id="rId67" display="143-24" xr:uid="{5B1DD0E8-C878-49B4-8F8A-D2C97A1AF093}"/>
    <hyperlink ref="Q137:R137" r:id="rId68" display="133-24" xr:uid="{65E05724-3D00-423D-9132-4791A4363EB1}"/>
    <hyperlink ref="Q157:R157" r:id="rId69" display="142-24" xr:uid="{AD9B5423-C5B2-4175-B111-5C4C9ED32BA1}"/>
    <hyperlink ref="Q161:R161" r:id="rId70" display="144-24" xr:uid="{8BB09942-E22C-4521-90AD-D963832FF504}"/>
    <hyperlink ref="Q133:R133" r:id="rId71" display="132-24" xr:uid="{60192B93-AD53-4739-B100-581B92E490F5}"/>
    <hyperlink ref="Q141:R141" r:id="rId72" display="134-24" xr:uid="{6D6DE47A-33B0-4A6F-9F50-0F6B730C08B7}"/>
  </hyperlinks>
  <pageMargins left="0.25" right="0.25" top="0.75" bottom="0.75" header="0.3" footer="0.3"/>
  <pageSetup paperSize="8" scale="91" orientation="landscape" r:id="rId73"/>
  <rowBreaks count="1" manualBreakCount="1">
    <brk id="164" min="6" max="22" man="1"/>
  </rowBreaks>
  <ignoredErrors>
    <ignoredError sqref="Y37 AA37:AD37" evalError="1"/>
  </ignoredErrors>
  <drawing r:id="rId74"/>
  <legacyDrawing r:id="rId75"/>
  <mc:AlternateContent xmlns:mc="http://schemas.openxmlformats.org/markup-compatibility/2006">
    <mc:Choice Requires="x14">
      <controls>
        <mc:AlternateContent xmlns:mc="http://schemas.openxmlformats.org/markup-compatibility/2006">
          <mc:Choice Requires="x14">
            <control shapeId="2090" r:id="rId76" name="Button 42">
              <controlPr defaultSize="0" print="0" autoFill="0" autoPict="0" macro="[0]!InviaEmailConScadenze">
                <anchor moveWithCells="1" sizeWithCells="1">
                  <from>
                    <xdr:col>32</xdr:col>
                    <xdr:colOff>676275</xdr:colOff>
                    <xdr:row>0</xdr:row>
                    <xdr:rowOff>123825</xdr:rowOff>
                  </from>
                  <to>
                    <xdr:col>34</xdr:col>
                    <xdr:colOff>657225</xdr:colOff>
                    <xdr:row>5</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6D65A-289B-427F-A012-B6ADC197EDBB}">
  <sheetPr codeName="Foglio2"/>
  <dimension ref="A1:P23"/>
  <sheetViews>
    <sheetView workbookViewId="0">
      <selection activeCell="C11" sqref="C11:D11"/>
    </sheetView>
  </sheetViews>
  <sheetFormatPr defaultRowHeight="12.75" x14ac:dyDescent="0.2"/>
  <sheetData>
    <row r="1" spans="1:16" ht="15" x14ac:dyDescent="0.2">
      <c r="A1" s="147" t="s">
        <v>237</v>
      </c>
      <c r="B1" s="148"/>
      <c r="C1" s="107" t="s">
        <v>95</v>
      </c>
      <c r="D1" s="108"/>
      <c r="F1" s="107" t="s">
        <v>95</v>
      </c>
      <c r="G1" s="108"/>
      <c r="L1" s="141" t="s">
        <v>49</v>
      </c>
      <c r="M1" s="142"/>
      <c r="O1" s="131" t="s">
        <v>66</v>
      </c>
      <c r="P1" s="132"/>
    </row>
    <row r="2" spans="1:16" ht="18" x14ac:dyDescent="0.2">
      <c r="A2" s="113" t="s">
        <v>7</v>
      </c>
      <c r="B2" s="114"/>
      <c r="C2" s="115" t="s">
        <v>43</v>
      </c>
      <c r="D2" s="116"/>
      <c r="F2" s="115" t="s">
        <v>43</v>
      </c>
      <c r="G2" s="116"/>
      <c r="L2" s="131" t="s">
        <v>53</v>
      </c>
      <c r="M2" s="132"/>
      <c r="O2" s="133" t="s">
        <v>43</v>
      </c>
      <c r="P2" s="134"/>
    </row>
    <row r="3" spans="1:16" ht="18" x14ac:dyDescent="0.2">
      <c r="A3" s="111" t="s">
        <v>8</v>
      </c>
      <c r="B3" s="112"/>
      <c r="C3" s="109">
        <v>32950307</v>
      </c>
      <c r="D3" s="110"/>
      <c r="F3" s="109" t="s">
        <v>102</v>
      </c>
      <c r="G3" s="110"/>
      <c r="L3" s="160" t="s">
        <v>56</v>
      </c>
      <c r="M3" s="161"/>
      <c r="O3" s="133">
        <v>5821414</v>
      </c>
      <c r="P3" s="134"/>
    </row>
    <row r="4" spans="1:16" ht="18.75" x14ac:dyDescent="0.2">
      <c r="A4" s="120" t="s">
        <v>9</v>
      </c>
      <c r="B4" s="112"/>
      <c r="C4" s="109" t="s">
        <v>96</v>
      </c>
      <c r="D4" s="110"/>
      <c r="F4" s="109" t="s">
        <v>285</v>
      </c>
      <c r="G4" s="110"/>
      <c r="L4" s="149" t="s">
        <v>57</v>
      </c>
      <c r="M4" s="150"/>
      <c r="O4" s="135" t="s">
        <v>46</v>
      </c>
      <c r="P4" s="136"/>
    </row>
    <row r="5" spans="1:16" ht="18" x14ac:dyDescent="0.2">
      <c r="A5" s="162">
        <v>5.0000000000000001E-4</v>
      </c>
      <c r="B5" s="163"/>
      <c r="C5" s="122">
        <v>2.9999999999999997E-4</v>
      </c>
      <c r="D5" s="124"/>
      <c r="F5" s="122">
        <v>2.9999999999999997E-4</v>
      </c>
      <c r="G5" s="124"/>
      <c r="L5" s="153">
        <v>5.0000000000000001E-3</v>
      </c>
      <c r="M5" s="154"/>
      <c r="O5" s="137">
        <v>1.4999999999999999E-4</v>
      </c>
      <c r="P5" s="138"/>
    </row>
    <row r="6" spans="1:16" ht="18" x14ac:dyDescent="0.2">
      <c r="A6" s="118" t="s">
        <v>280</v>
      </c>
      <c r="B6" s="119"/>
      <c r="C6" s="118" t="s">
        <v>274</v>
      </c>
      <c r="D6" s="119"/>
      <c r="F6" s="118" t="s">
        <v>251</v>
      </c>
      <c r="G6" s="119"/>
      <c r="L6" s="151" t="s">
        <v>221</v>
      </c>
      <c r="M6" s="152"/>
      <c r="O6" s="133" t="s">
        <v>238</v>
      </c>
      <c r="P6" s="134"/>
    </row>
    <row r="7" spans="1:16" ht="18.75" thickBot="1" x14ac:dyDescent="0.25">
      <c r="A7" s="117">
        <v>46148</v>
      </c>
      <c r="B7" s="117"/>
      <c r="C7" s="117">
        <v>46142</v>
      </c>
      <c r="D7" s="117"/>
      <c r="F7" s="117">
        <v>46057</v>
      </c>
      <c r="G7" s="117"/>
      <c r="L7" s="145">
        <v>45794</v>
      </c>
      <c r="M7" s="146"/>
      <c r="O7" s="139">
        <v>45815</v>
      </c>
      <c r="P7" s="140"/>
    </row>
    <row r="8" spans="1:16" ht="18" x14ac:dyDescent="0.2">
      <c r="A8" s="11"/>
      <c r="B8" s="11"/>
      <c r="C8" s="11"/>
      <c r="D8" s="11"/>
      <c r="F8" s="11"/>
      <c r="G8" s="11"/>
    </row>
    <row r="9" spans="1:16" ht="14.25" x14ac:dyDescent="0.2">
      <c r="A9" s="125" t="s">
        <v>41</v>
      </c>
      <c r="B9" s="126"/>
      <c r="C9" s="107" t="s">
        <v>95</v>
      </c>
      <c r="D9" s="108"/>
    </row>
    <row r="10" spans="1:16" ht="16.5" x14ac:dyDescent="0.2">
      <c r="A10" s="127" t="s">
        <v>7</v>
      </c>
      <c r="B10" s="128"/>
      <c r="C10" s="115" t="s">
        <v>43</v>
      </c>
      <c r="D10" s="116"/>
    </row>
    <row r="11" spans="1:16" ht="18" x14ac:dyDescent="0.2">
      <c r="A11" s="111" t="s">
        <v>97</v>
      </c>
      <c r="B11" s="112"/>
      <c r="C11" s="109" t="s">
        <v>102</v>
      </c>
      <c r="D11" s="110"/>
    </row>
    <row r="12" spans="1:16" ht="18.75" x14ac:dyDescent="0.2">
      <c r="A12" s="127" t="s">
        <v>22</v>
      </c>
      <c r="B12" s="128"/>
      <c r="C12" s="109" t="s">
        <v>96</v>
      </c>
      <c r="D12" s="110"/>
    </row>
    <row r="13" spans="1:16" ht="18" x14ac:dyDescent="0.2">
      <c r="A13" s="130">
        <v>1E-3</v>
      </c>
      <c r="B13" s="128"/>
      <c r="C13" s="122">
        <v>2.9999999999999997E-4</v>
      </c>
      <c r="D13" s="124"/>
    </row>
    <row r="14" spans="1:16" ht="18" x14ac:dyDescent="0.2">
      <c r="A14" s="129" t="s">
        <v>98</v>
      </c>
      <c r="B14" s="129"/>
      <c r="C14" s="118" t="s">
        <v>189</v>
      </c>
      <c r="D14" s="119"/>
    </row>
    <row r="15" spans="1:16" ht="18.75" thickBot="1" x14ac:dyDescent="0.25">
      <c r="A15" s="157">
        <v>45737</v>
      </c>
      <c r="B15" s="157"/>
      <c r="C15" s="117">
        <v>45690</v>
      </c>
      <c r="D15" s="117"/>
    </row>
    <row r="16" spans="1:16" ht="18" x14ac:dyDescent="0.2">
      <c r="A16" s="11"/>
      <c r="B16" s="11"/>
      <c r="C16" s="11"/>
      <c r="D16" s="11"/>
    </row>
    <row r="17" spans="1:2" ht="14.25" x14ac:dyDescent="0.2">
      <c r="A17" s="158" t="s">
        <v>243</v>
      </c>
      <c r="B17" s="159"/>
    </row>
    <row r="18" spans="1:2" ht="18" x14ac:dyDescent="0.2">
      <c r="A18" s="113" t="s">
        <v>28</v>
      </c>
      <c r="B18" s="114"/>
    </row>
    <row r="19" spans="1:2" ht="18" x14ac:dyDescent="0.2">
      <c r="A19" s="111" t="s">
        <v>33</v>
      </c>
      <c r="B19" s="112"/>
    </row>
    <row r="20" spans="1:2" ht="18" x14ac:dyDescent="0.2">
      <c r="A20" s="120" t="s">
        <v>32</v>
      </c>
      <c r="B20" s="121"/>
    </row>
    <row r="21" spans="1:2" ht="18" x14ac:dyDescent="0.2">
      <c r="A21" s="122">
        <v>2E-3</v>
      </c>
      <c r="B21" s="123"/>
    </row>
    <row r="22" spans="1:2" ht="18" x14ac:dyDescent="0.2">
      <c r="A22" s="143" t="s">
        <v>209</v>
      </c>
      <c r="B22" s="144"/>
    </row>
    <row r="23" spans="1:2" ht="18.75" thickBot="1" x14ac:dyDescent="0.25">
      <c r="A23" s="155">
        <v>45798</v>
      </c>
      <c r="B23" s="156"/>
    </row>
  </sheetData>
  <mergeCells count="56">
    <mergeCell ref="L3:M3"/>
    <mergeCell ref="C6:D6"/>
    <mergeCell ref="A5:B5"/>
    <mergeCell ref="C5:D5"/>
    <mergeCell ref="F4:G4"/>
    <mergeCell ref="F5:G5"/>
    <mergeCell ref="A4:B4"/>
    <mergeCell ref="C4:D4"/>
    <mergeCell ref="F6:G6"/>
    <mergeCell ref="A23:B23"/>
    <mergeCell ref="A15:B15"/>
    <mergeCell ref="A17:B17"/>
    <mergeCell ref="A18:B18"/>
    <mergeCell ref="A19:B19"/>
    <mergeCell ref="O6:P6"/>
    <mergeCell ref="O7:P7"/>
    <mergeCell ref="L1:M1"/>
    <mergeCell ref="L2:M2"/>
    <mergeCell ref="A22:B22"/>
    <mergeCell ref="L7:M7"/>
    <mergeCell ref="A1:B1"/>
    <mergeCell ref="F7:G7"/>
    <mergeCell ref="L4:M4"/>
    <mergeCell ref="L6:M6"/>
    <mergeCell ref="L5:M5"/>
    <mergeCell ref="A7:B7"/>
    <mergeCell ref="C7:D7"/>
    <mergeCell ref="A6:B6"/>
    <mergeCell ref="F3:G3"/>
    <mergeCell ref="F2:G2"/>
    <mergeCell ref="O1:P1"/>
    <mergeCell ref="O2:P2"/>
    <mergeCell ref="O3:P3"/>
    <mergeCell ref="O4:P4"/>
    <mergeCell ref="O5:P5"/>
    <mergeCell ref="C15:D15"/>
    <mergeCell ref="C9:D9"/>
    <mergeCell ref="C14:D14"/>
    <mergeCell ref="A20:B20"/>
    <mergeCell ref="A21:B21"/>
    <mergeCell ref="C13:D13"/>
    <mergeCell ref="A9:B9"/>
    <mergeCell ref="A11:B11"/>
    <mergeCell ref="A12:B12"/>
    <mergeCell ref="C10:D10"/>
    <mergeCell ref="C12:D12"/>
    <mergeCell ref="A14:B14"/>
    <mergeCell ref="A10:B10"/>
    <mergeCell ref="A13:B13"/>
    <mergeCell ref="F1:G1"/>
    <mergeCell ref="C11:D11"/>
    <mergeCell ref="A3:B3"/>
    <mergeCell ref="C3:D3"/>
    <mergeCell ref="C1:D1"/>
    <mergeCell ref="A2:B2"/>
    <mergeCell ref="C2:D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strumenti campione ISAB SUD</vt:lpstr>
      <vt:lpstr>Foglio1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Isab Energy</dc:creator>
  <cp:lastModifiedBy>Giancarlo Allegretti</cp:lastModifiedBy>
  <cp:lastPrinted>2025-04-17T06:10:53Z</cp:lastPrinted>
  <dcterms:created xsi:type="dcterms:W3CDTF">2007-03-09T08:21:15Z</dcterms:created>
  <dcterms:modified xsi:type="dcterms:W3CDTF">2025-12-24T15:13:06Z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zione">
    <vt:lpwstr>ERG_Security_Classification_Level_USO_INTERNO</vt:lpwstr>
  </property>
  <property fmtid="{D5CDD505-2E9C-101B-9397-08002B2CF9AE}" pid="3" name="Classificazione_Alias">
    <vt:lpwstr>USO INTERNO</vt:lpwstr>
  </property>
  <property fmtid="{D5CDD505-2E9C-101B-9397-08002B2CF9AE}" pid="4" name="Cronologia_Classificazione">
    <vt:lpwstr/>
  </property>
</Properties>
</file>